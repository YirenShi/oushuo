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欧硕\订单管理\"/>
    </mc:Choice>
  </mc:AlternateContent>
  <bookViews>
    <workbookView windowHeight="17680" activeTab="5"/>
  </bookViews>
  <sheets>
    <sheet name="Sheet7" sheetId="7" r:id="rId1"/>
    <sheet name="Sheet4" sheetId="4" r:id="rId2"/>
    <sheet name="Sheet1" sheetId="1" r:id="rId3"/>
    <sheet name="Sheet6" sheetId="6" r:id="rId4"/>
    <sheet name="扣去税费汇总计算" sheetId="8" r:id="rId5"/>
    <sheet name="Sheet10" sheetId="10" r:id="rId6"/>
  </sheets>
  <definedNames>
    <definedName name="_xlnm._FilterDatabase" localSheetId="2" hidden="1">Sheet1!$A$1:$U$610</definedName>
    <definedName name="_xlnm._FilterDatabase" localSheetId="4" hidden="1">扣去税费汇总计算!$A$3:$H$32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0" name="ID_D095EAFF026B48E19078F49E8C0131CD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728960" y="12166600"/>
          <a:ext cx="16230600" cy="98488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<sst xmlns="http://schemas.openxmlformats.org/spreadsheetml/2006/main" count="3648" uniqueCount="500">
  <si>
    <t>订单编号</t>
  </si>
  <si>
    <t>发货日期</t>
  </si>
  <si>
    <t>客户</t>
  </si>
  <si>
    <t>商品名称</t>
  </si>
  <si>
    <t>箱规</t>
  </si>
  <si>
    <t>箱数</t>
  </si>
  <si>
    <t>数    量</t>
  </si>
  <si>
    <t>单    位</t>
  </si>
  <si>
    <t>销售单价</t>
  </si>
  <si>
    <t>金    额</t>
  </si>
  <si>
    <t>运费</t>
  </si>
  <si>
    <t>是否开票</t>
  </si>
  <si>
    <t>完结</t>
  </si>
  <si>
    <t>备注</t>
  </si>
  <si>
    <t xml:space="preserve">义乌市槿睿贸易有限公司
</t>
  </si>
  <si>
    <t>2001 三层文件盘（尖角）</t>
  </si>
  <si>
    <t>套</t>
  </si>
  <si>
    <t>是</t>
  </si>
  <si>
    <t>宁波优智达办公用品有限公司</t>
  </si>
  <si>
    <t>OS-2026031802</t>
  </si>
  <si>
    <t>文件夹对公</t>
  </si>
  <si>
    <t>OS-2026032403</t>
  </si>
  <si>
    <t>优智达</t>
  </si>
  <si>
    <t>OS-2026030903</t>
  </si>
  <si>
    <t>OS-2026061601</t>
  </si>
  <si>
    <t>赛雅歌</t>
  </si>
  <si>
    <t>求和项:数    量</t>
  </si>
  <si>
    <t>求和项:箱数</t>
  </si>
  <si>
    <t>求和项:金    额</t>
  </si>
  <si>
    <t>成本价</t>
  </si>
  <si>
    <t>成本总价</t>
  </si>
  <si>
    <t>利润</t>
  </si>
  <si>
    <t>2001C 四层文件盘（尖角）</t>
  </si>
  <si>
    <t>2001C 四层文件盘（圆弧）</t>
  </si>
  <si>
    <t>2002 二层文件盘（尖角）</t>
  </si>
  <si>
    <t>2005 五层文件盘（尖角）</t>
  </si>
  <si>
    <t>9303-2 二联内圆弧杂志盒（三根杆）</t>
  </si>
  <si>
    <t>9303-3 三联内圆弧杂志盒(三根杆）</t>
  </si>
  <si>
    <t>9303-4 四联内圆弧杂志盒(三根杆）</t>
  </si>
  <si>
    <t>9304-3 三联直角杂志盒</t>
  </si>
  <si>
    <t>9304-4 四联直角杂志盒</t>
  </si>
  <si>
    <t>总计</t>
  </si>
  <si>
    <t>鼎呱呱</t>
  </si>
  <si>
    <t>否</t>
  </si>
  <si>
    <t>9304-2 二联直角杂志盒</t>
  </si>
  <si>
    <t>上海毅烁供应链管理有限公司</t>
  </si>
  <si>
    <t>义乌市捷亚电子商务有限公司</t>
  </si>
  <si>
    <t>义乌兴邦文具</t>
  </si>
  <si>
    <t>9303-3 三联内圆弧杂志盒（二根杆）</t>
  </si>
  <si>
    <t>电商-文件栏-徐宁Ivan 💥</t>
  </si>
  <si>
    <t>2005 五层文件盘（圆弧）</t>
  </si>
  <si>
    <t>9303-2 二联内圆弧杂志盒（二根杆）</t>
  </si>
  <si>
    <t>飞盛-丁玲</t>
  </si>
  <si>
    <t>2006 三层横款文件盘（圆弧）</t>
  </si>
  <si>
    <t>陈鹏利</t>
  </si>
  <si>
    <t>义乌市灏蓝进出口有限公司</t>
  </si>
  <si>
    <t>05-13结清</t>
  </si>
  <si>
    <t>电商-文件框 latin</t>
  </si>
  <si>
    <t xml:space="preserve">OS-2026030301
</t>
  </si>
  <si>
    <t>弗睿网络科技（广州）有限公司</t>
  </si>
  <si>
    <t>OS-2026030206</t>
  </si>
  <si>
    <t>鼎呱呱-蔻可</t>
  </si>
  <si>
    <t>OS-2026030806</t>
  </si>
  <si>
    <t>转给覃</t>
  </si>
  <si>
    <t>OS-2026030904</t>
  </si>
  <si>
    <t xml:space="preserve">OS-2026030401
</t>
  </si>
  <si>
    <t>鼎呱呱-正珈</t>
  </si>
  <si>
    <t>OS-2026030402</t>
  </si>
  <si>
    <t>鼎呱呱-陈训</t>
  </si>
  <si>
    <t>2007 四层横款文件盘（圆弧）</t>
  </si>
  <si>
    <t>2008 五层横款文件盘（圆弧）</t>
  </si>
  <si>
    <t>未发货</t>
  </si>
  <si>
    <t>OS-2026031202</t>
  </si>
  <si>
    <t>刘永军</t>
  </si>
  <si>
    <t>OS-2026031603</t>
  </si>
  <si>
    <t>鼎呱呱-常规</t>
  </si>
  <si>
    <t>OS-2026031701</t>
  </si>
  <si>
    <t>朱由留-义乌阿索米</t>
  </si>
  <si>
    <t>OS-2026031702</t>
  </si>
  <si>
    <t>OS-2026030204</t>
  </si>
  <si>
    <t>鼎呱呱文具-KARACA</t>
  </si>
  <si>
    <t>OS-2026030601</t>
  </si>
  <si>
    <t>鼎呱呱文具-优哈优公司
MB客户</t>
  </si>
  <si>
    <t>OS-2026030802</t>
  </si>
  <si>
    <t>鼎呱呱文具-念悠公司ML客户</t>
  </si>
  <si>
    <t>OS-2026030804</t>
  </si>
  <si>
    <t>鼎呱呱文具-米隆</t>
  </si>
  <si>
    <t>OS-2026031003</t>
  </si>
  <si>
    <t>鼎呱呱文具-瓦旦</t>
  </si>
  <si>
    <t>OS-2026031401</t>
  </si>
  <si>
    <t>鼎呱呱-OKAY黄鸣华</t>
  </si>
  <si>
    <t>OS-2026031203</t>
  </si>
  <si>
    <t>安瑞汉特贸易有限公司</t>
  </si>
  <si>
    <t>OS-2026031102</t>
  </si>
  <si>
    <t>路达</t>
  </si>
  <si>
    <t>9303-4 四联内圆弧杂志盒（二根杆）</t>
  </si>
  <si>
    <t>OS-2026031601</t>
  </si>
  <si>
    <t>OS-2026031801</t>
  </si>
  <si>
    <t>OS-2026031902</t>
  </si>
  <si>
    <t>后续已补</t>
  </si>
  <si>
    <t>3003-5折叠杂志架</t>
  </si>
  <si>
    <t>OS-2026030805</t>
  </si>
  <si>
    <t>鼎呱呱文具-森森乐林</t>
  </si>
  <si>
    <t>粉色</t>
  </si>
  <si>
    <t>OS-2026031301</t>
  </si>
  <si>
    <t>鼎呱呱-森森乐林</t>
  </si>
  <si>
    <t>银色</t>
  </si>
  <si>
    <t>OS-2026032002</t>
  </si>
  <si>
    <t>鼎呱呱-岱力</t>
  </si>
  <si>
    <t>OS-2026030803</t>
  </si>
  <si>
    <t>鼎呱呱文具-浩苍</t>
  </si>
  <si>
    <t>OS-2026031001</t>
  </si>
  <si>
    <t>鼎呱呱文具-茉莉</t>
  </si>
  <si>
    <t>OS-2026032102</t>
  </si>
  <si>
    <t>鼎呱呱-维简</t>
  </si>
  <si>
    <t>OS-2026032104</t>
  </si>
  <si>
    <t>鼎呱呱-埃睿纳</t>
  </si>
  <si>
    <t>OS-2026032003</t>
  </si>
  <si>
    <t>金烁</t>
  </si>
  <si>
    <t>OS-2026030801</t>
  </si>
  <si>
    <t>鼎呱呱文具-翱翔（改为夸奇贸易）</t>
  </si>
  <si>
    <t>OS-2026032103</t>
  </si>
  <si>
    <t>鼎呱呱-光加</t>
  </si>
  <si>
    <t>OS-2026032401</t>
  </si>
  <si>
    <t>概伟</t>
  </si>
  <si>
    <t>OS-2026032503</t>
  </si>
  <si>
    <t>OS-2026032801</t>
  </si>
  <si>
    <t>OS-2026033101</t>
  </si>
  <si>
    <t>鼎呱呱-华宇</t>
  </si>
  <si>
    <t>OS-2026032001</t>
  </si>
  <si>
    <t>鼎呱呱-浩伞</t>
  </si>
  <si>
    <t>OS-2026040201</t>
  </si>
  <si>
    <t>OS-2026040202</t>
  </si>
  <si>
    <t>鼎呱呱-印度</t>
  </si>
  <si>
    <t>OS-2026032201</t>
  </si>
  <si>
    <t>兴邦</t>
  </si>
  <si>
    <t>07-18付清</t>
  </si>
  <si>
    <t>OS-2026032301</t>
  </si>
  <si>
    <t>鼎呱呱-千吉</t>
  </si>
  <si>
    <t>OS-2026032402</t>
  </si>
  <si>
    <t>鼎呱呱-易则仓库</t>
  </si>
  <si>
    <t>OS-2026032501</t>
  </si>
  <si>
    <t>鼎呱呱-南非-叶丽丽</t>
  </si>
  <si>
    <t>OS-20260012101</t>
  </si>
  <si>
    <t>鼎呱呱-艾美娜</t>
  </si>
  <si>
    <t>OS-2026031201</t>
  </si>
  <si>
    <t>鼎呱呱-巴里亚</t>
  </si>
  <si>
    <t>OS-2026032502</t>
  </si>
  <si>
    <t>08-10付清</t>
  </si>
  <si>
    <t>OS-2026033002</t>
  </si>
  <si>
    <t>OS-2026040701</t>
  </si>
  <si>
    <t>OS-2026031501</t>
  </si>
  <si>
    <t>鼎呱呱-玖玖贸易</t>
  </si>
  <si>
    <t>OS-2026033001</t>
  </si>
  <si>
    <t>鼎呱呱-航丰</t>
  </si>
  <si>
    <t>OS-2026040403</t>
  </si>
  <si>
    <t>鼎呱呱-宏宴</t>
  </si>
  <si>
    <t>OS-2026040901</t>
  </si>
  <si>
    <t>鼎呱呱-尚儒</t>
  </si>
  <si>
    <t>OS-2026041203</t>
  </si>
  <si>
    <t>OS-2026041204</t>
  </si>
  <si>
    <t>鼎呱呱-东湖</t>
  </si>
  <si>
    <t>OS-2026041205</t>
  </si>
  <si>
    <t>OS-2026031502</t>
  </si>
  <si>
    <t>鼎呱呱-呈扬</t>
  </si>
  <si>
    <t>OS-2026031306</t>
  </si>
  <si>
    <t>OS-2026030201</t>
  </si>
  <si>
    <t>鼎呱呱文具-亚给MOH</t>
  </si>
  <si>
    <t>OS-2026030902</t>
  </si>
  <si>
    <t>鼎呱呱文具-天几国际</t>
  </si>
  <si>
    <t>OS-2026031304</t>
  </si>
  <si>
    <t>鼎呱呱-铭展</t>
  </si>
  <si>
    <t>OS-2026032701</t>
  </si>
  <si>
    <t>OS-2026032703</t>
  </si>
  <si>
    <t>鼎呱呱-国贸洋行</t>
  </si>
  <si>
    <t>OS-20260400101</t>
  </si>
  <si>
    <t>鼎呱呱-昇飞</t>
  </si>
  <si>
    <t>OS-2026041202</t>
  </si>
  <si>
    <t>OS-2026041402</t>
  </si>
  <si>
    <t>鼎呱呱-贺小姐-业华</t>
  </si>
  <si>
    <t>OS-2026041503</t>
  </si>
  <si>
    <t>鼎呱呱-巴基斯坦客户-BOSS</t>
  </si>
  <si>
    <t>OS-2026031803</t>
  </si>
  <si>
    <t>上海毅烁</t>
  </si>
  <si>
    <t>OS-2026042102</t>
  </si>
  <si>
    <t>OS-2026030203</t>
  </si>
  <si>
    <t>鼎呱呱文具-谦融</t>
  </si>
  <si>
    <t>OS-2026031002</t>
  </si>
  <si>
    <t>鼎呱呱文具-宁波风暴</t>
  </si>
  <si>
    <t>OS-2026040205</t>
  </si>
  <si>
    <t>OS-2026042302</t>
  </si>
  <si>
    <t>OS-2026030202</t>
  </si>
  <si>
    <t>鼎呱呱文具永胜店面</t>
  </si>
  <si>
    <t>OS-2026040401</t>
  </si>
  <si>
    <t>鼎呱呱-标德芙</t>
  </si>
  <si>
    <t xml:space="preserve">OS-2026040801               </t>
  </si>
  <si>
    <t>鼎呱呱-鼎达</t>
  </si>
  <si>
    <t>OS-2026041302</t>
  </si>
  <si>
    <t>鼎呱呱-合信</t>
  </si>
  <si>
    <t>OS-2026041502</t>
  </si>
  <si>
    <t>鼎呱呱-俄罗斯盛丰</t>
  </si>
  <si>
    <t>OS-2026042503</t>
  </si>
  <si>
    <t>OS-2026042202</t>
  </si>
  <si>
    <t>OS-2026042301</t>
  </si>
  <si>
    <t>OS-2026041301</t>
  </si>
  <si>
    <t>OS-2026042201</t>
  </si>
  <si>
    <t>OS-2026042803</t>
  </si>
  <si>
    <t>已付5w，尾款微信转账，待后续退回并对公转</t>
  </si>
  <si>
    <t>OS-2026040402</t>
  </si>
  <si>
    <t>鼎呱呱-阿速</t>
  </si>
  <si>
    <t>OS-2026042401</t>
  </si>
  <si>
    <t>鼎呱呱-佑礼科</t>
  </si>
  <si>
    <t>OS-2026031303</t>
  </si>
  <si>
    <t>鼎呱呱-康庭</t>
  </si>
  <si>
    <t>OS-2026042004</t>
  </si>
  <si>
    <t>鼎呱呱-世通</t>
  </si>
  <si>
    <t>OS-2026042005</t>
  </si>
  <si>
    <t>鼎呱呱-世通6T14</t>
  </si>
  <si>
    <t>OS-20260050501</t>
  </si>
  <si>
    <t>鼎呱呱-旭旺</t>
  </si>
  <si>
    <t>OS-20260050503</t>
  </si>
  <si>
    <t>鼎呱呱-XPZ</t>
  </si>
  <si>
    <t>OS-2026042801</t>
  </si>
  <si>
    <t>OS-2026042802</t>
  </si>
  <si>
    <t>OS-20260050703</t>
  </si>
  <si>
    <t>OS-20260050805</t>
  </si>
  <si>
    <t>OS-2026041901</t>
  </si>
  <si>
    <t>OS-20260050401</t>
  </si>
  <si>
    <t>OS-20260050403</t>
  </si>
  <si>
    <t>OS-2026050902</t>
  </si>
  <si>
    <t>OS-2026050903</t>
  </si>
  <si>
    <t>发货单上写了，但是没有发货记录，且客户未下单</t>
  </si>
  <si>
    <t>OS-2026040207</t>
  </si>
  <si>
    <t>电商-文件框-徐宁Ivan 💥</t>
  </si>
  <si>
    <t>OS-2026051001</t>
  </si>
  <si>
    <t>董业颖</t>
  </si>
  <si>
    <t>OS-2026022701</t>
  </si>
  <si>
    <t>鼎呱呱文具-雅桐</t>
  </si>
  <si>
    <t>OS-2026041001</t>
  </si>
  <si>
    <t>鼎呱呱-江北唯资</t>
  </si>
  <si>
    <t>鼎呱呱-OKAY黄鸣华 小徐</t>
  </si>
  <si>
    <t>OS-2026042701</t>
  </si>
  <si>
    <t>鼎呱呱-朵购  晗越进出口</t>
  </si>
  <si>
    <t>鼎呱呱-风盈</t>
  </si>
  <si>
    <t>OS-20260050502</t>
  </si>
  <si>
    <t>OS-2026051101</t>
  </si>
  <si>
    <t>OS-2026050901</t>
  </si>
  <si>
    <t>电商-陈泽榕</t>
  </si>
  <si>
    <t>OS-2026042601</t>
  </si>
  <si>
    <t>鼎呱呱-墨西哥王天宇</t>
  </si>
  <si>
    <t>OS-2026051504</t>
  </si>
  <si>
    <t>OS-2026040404</t>
  </si>
  <si>
    <t>鼎呱呱-瑞源</t>
  </si>
  <si>
    <t>OS-20260050406</t>
  </si>
  <si>
    <t>鼎呱呱-奥斯卡</t>
  </si>
  <si>
    <t>OS-20260050409</t>
  </si>
  <si>
    <t>鼎呱呱-惠润</t>
  </si>
  <si>
    <t>OS-20260050802</t>
  </si>
  <si>
    <t>鼎呱呱-启航 陈静</t>
  </si>
  <si>
    <t>OS-2026051302</t>
  </si>
  <si>
    <t>OS-2026051401</t>
  </si>
  <si>
    <t>鼎呱呱-呈扬WK 陈静</t>
  </si>
  <si>
    <t>OS-2026051701</t>
  </si>
  <si>
    <t>OS-2026051304</t>
  </si>
  <si>
    <t>OS-2026051303</t>
  </si>
  <si>
    <t>OS-2026042703</t>
  </si>
  <si>
    <t>鼎呱呱-亿拓</t>
  </si>
  <si>
    <t>OS-20260050405</t>
  </si>
  <si>
    <t>鼎呱呱-季苏丽</t>
  </si>
  <si>
    <t>OS-20260051001</t>
  </si>
  <si>
    <t>鼎呱呱-特蕾莎 小祝</t>
  </si>
  <si>
    <t>OS-20260051002</t>
  </si>
  <si>
    <t>OS-2026051306</t>
  </si>
  <si>
    <t>合丰</t>
  </si>
  <si>
    <t>OS-2026052001</t>
  </si>
  <si>
    <t>OS-2026052002</t>
  </si>
  <si>
    <t>小南 17357952936</t>
  </si>
  <si>
    <t>07-31 付清</t>
  </si>
  <si>
    <t>OS-2026052003</t>
  </si>
  <si>
    <t>OS-2026040802</t>
  </si>
  <si>
    <t>OS-2026042702</t>
  </si>
  <si>
    <t>鼎呱呱-（呈扬贸易）WK</t>
  </si>
  <si>
    <t>OS-2026051201</t>
  </si>
  <si>
    <t>OS-2026052302</t>
  </si>
  <si>
    <t>OS-2026042002</t>
  </si>
  <si>
    <t>鼎呱呱-安迪公司AJ客户</t>
  </si>
  <si>
    <t>OS-2026042501</t>
  </si>
  <si>
    <t>鼎呱呱-阅洛</t>
  </si>
  <si>
    <t>OS-2026051103</t>
  </si>
  <si>
    <t>鼎呱呱-飒宛 陈静</t>
  </si>
  <si>
    <t>OS-2026051301</t>
  </si>
  <si>
    <t>鼎呱呱-鼎达 小徐</t>
  </si>
  <si>
    <t>OS-2026052404</t>
  </si>
  <si>
    <t>OS-2026052405</t>
  </si>
  <si>
    <t>OS-2026051502</t>
  </si>
  <si>
    <t>鸣春贸易</t>
  </si>
  <si>
    <t>OS-2026052501</t>
  </si>
  <si>
    <t>OS-2026052503</t>
  </si>
  <si>
    <t>OS-2026052601</t>
  </si>
  <si>
    <t>OS-2026051002</t>
  </si>
  <si>
    <t>9304-1 单联直角杂志盒</t>
  </si>
  <si>
    <t>OS-2026051501</t>
  </si>
  <si>
    <t>开通</t>
  </si>
  <si>
    <t>OS-2026052201</t>
  </si>
  <si>
    <t>义乌海歌</t>
  </si>
  <si>
    <t>OS-2026052604</t>
  </si>
  <si>
    <t>OS-2026051902</t>
  </si>
  <si>
    <t>OS-2026052401</t>
  </si>
  <si>
    <t>OS-2026052602</t>
  </si>
  <si>
    <t>OS-2026052603</t>
  </si>
  <si>
    <t>OS-2026052607</t>
  </si>
  <si>
    <t>鼎呱呱-易则仓库 小徐</t>
  </si>
  <si>
    <t>OS-2026052802</t>
  </si>
  <si>
    <t>补发</t>
  </si>
  <si>
    <t>OS-2026042502</t>
  </si>
  <si>
    <t>鼎呱呱-呈扬 HHY</t>
  </si>
  <si>
    <t>OS-20260050404</t>
  </si>
  <si>
    <t>鼎呱呱-雷川</t>
  </si>
  <si>
    <t>OS-2026051602</t>
  </si>
  <si>
    <t>鼎呱呱-爱伊家 小祝</t>
  </si>
  <si>
    <t>OS-2026052101</t>
  </si>
  <si>
    <t>鼎呱呱-萨汝</t>
  </si>
  <si>
    <t>OS-2026052204</t>
  </si>
  <si>
    <t>鼎呱呱-埃及VK 陈静</t>
  </si>
  <si>
    <t>OS-2026052301</t>
  </si>
  <si>
    <t>鼎呱呱-沃柔 小徐</t>
  </si>
  <si>
    <t>OS-2026053004</t>
  </si>
  <si>
    <t>OS-2026051202</t>
  </si>
  <si>
    <t>鼎呱呱-新亚 小祝</t>
  </si>
  <si>
    <t>卸货费：240</t>
  </si>
  <si>
    <t>OS-2026052606</t>
  </si>
  <si>
    <t>鼎呱呱-蔻可PO 小徐</t>
  </si>
  <si>
    <t>OS-2026052608</t>
  </si>
  <si>
    <t>鼎呱呱-基恺PO 小徐</t>
  </si>
  <si>
    <t>OS-2026051503</t>
  </si>
  <si>
    <t>义乌泰拓贸易</t>
  </si>
  <si>
    <t>订金2000</t>
  </si>
  <si>
    <t>OS-2026052801</t>
  </si>
  <si>
    <t>鼎呱呱-达誉 小虞</t>
  </si>
  <si>
    <t>OS-2026053001</t>
  </si>
  <si>
    <t>鼎呱呱-华宇 小祝</t>
  </si>
  <si>
    <t>OS-2026053002</t>
  </si>
  <si>
    <t>鼎呱呱-黄鸣华PO 小徐</t>
  </si>
  <si>
    <t>OS-2026060101</t>
  </si>
  <si>
    <t>鼎呱呱-优腾 小祝</t>
  </si>
  <si>
    <t>OS-2026060204</t>
  </si>
  <si>
    <t>鼎呱呱-浩伞SP2602 陈静</t>
  </si>
  <si>
    <t>OS-2026060205</t>
  </si>
  <si>
    <t>OS-2026060206</t>
  </si>
  <si>
    <t>OS-2026060202</t>
  </si>
  <si>
    <t>latin</t>
  </si>
  <si>
    <t>OS-2026061606</t>
  </si>
  <si>
    <t>吕雪玲</t>
  </si>
  <si>
    <t>OS-2026060403</t>
  </si>
  <si>
    <t>鼎呱呱-兄弟贸易 陈静</t>
  </si>
  <si>
    <t>OS-2026060801</t>
  </si>
  <si>
    <t>OS-2026060601</t>
  </si>
  <si>
    <t>鼎呱呱-赛联 小祝</t>
  </si>
  <si>
    <t>OS-2026060603</t>
  </si>
  <si>
    <t>鼎呱呱-赛尔优</t>
  </si>
  <si>
    <t>OS-2026062102</t>
  </si>
  <si>
    <t>OS-2026060604</t>
  </si>
  <si>
    <t>鼎呱呱-泛洋</t>
  </si>
  <si>
    <t>OS-2026060605</t>
  </si>
  <si>
    <t>OS-2026060703</t>
  </si>
  <si>
    <t>鼎呱呱-骆加 光加 小祝</t>
  </si>
  <si>
    <t>OS-2026061201</t>
  </si>
  <si>
    <t>OS-2026061202</t>
  </si>
  <si>
    <t>OS-2026061203</t>
  </si>
  <si>
    <t>鼎呱呱-理想</t>
  </si>
  <si>
    <t>2009 折叠杂志架</t>
  </si>
  <si>
    <t>OS-2026061501</t>
  </si>
  <si>
    <t>鼎呱呱-黄鸣华OKAY 小徐</t>
  </si>
  <si>
    <t>OS-2026060201</t>
  </si>
  <si>
    <t>捷亚</t>
  </si>
  <si>
    <t>产品质量问题退回32件待补发
07/13已返工补发</t>
  </si>
  <si>
    <t>OS-2026061602</t>
  </si>
  <si>
    <t>鼎呱呱-宜惠 小虞 FR2606</t>
  </si>
  <si>
    <t>OS-2026061603</t>
  </si>
  <si>
    <t>鼎呱呱-宜惠 小虞 HGZ</t>
  </si>
  <si>
    <t>OS-2026061701</t>
  </si>
  <si>
    <t>鼎呱呱-托尼5号 小徐</t>
  </si>
  <si>
    <t>OS-2026061801</t>
  </si>
  <si>
    <t>OS-2026062201</t>
  </si>
  <si>
    <t>OS-2026062202</t>
  </si>
  <si>
    <t>鼎呱呱-吴金城</t>
  </si>
  <si>
    <t>OS-2026062301</t>
  </si>
  <si>
    <t>OS-2026062701</t>
  </si>
  <si>
    <t>娟子</t>
  </si>
  <si>
    <t>OS-2026060701</t>
  </si>
  <si>
    <t>OS-2026062401</t>
  </si>
  <si>
    <t>OS-2026062101</t>
  </si>
  <si>
    <t>OS-2026051901</t>
  </si>
  <si>
    <t>鼎呱呱-匹赛贸易 小祝</t>
  </si>
  <si>
    <t>OS-2026060402</t>
  </si>
  <si>
    <t>鼎呱呱-商翼 陈静</t>
  </si>
  <si>
    <t>OS-2026060503</t>
  </si>
  <si>
    <t>鼎呱呱-宜惠 小虞</t>
  </si>
  <si>
    <t>OS-2026061301</t>
  </si>
  <si>
    <t>鼎呱呱-南非-叶丽丽 陈静</t>
  </si>
  <si>
    <t>OS-2026061605</t>
  </si>
  <si>
    <t>鼎呱呱-美国时代 小祝</t>
  </si>
  <si>
    <t>OS-2026062801</t>
  </si>
  <si>
    <t>OS-2026070101</t>
  </si>
  <si>
    <t>OS-20260050804</t>
  </si>
  <si>
    <t>鼎呱呱-彼善 小徐</t>
  </si>
  <si>
    <t>OS-2026051802</t>
  </si>
  <si>
    <t>鼎呱呱-巴基斯坦莫汉莫德 陈静</t>
  </si>
  <si>
    <t>OS-2026060301</t>
  </si>
  <si>
    <t>鼎呱呱-玖玖PO 小徐</t>
  </si>
  <si>
    <t>OS-2026060602</t>
  </si>
  <si>
    <t>鼎呱呱-玖玖贸易BF 小徐</t>
  </si>
  <si>
    <t>OS-2026063002</t>
  </si>
  <si>
    <t>OS-2026070203</t>
  </si>
  <si>
    <t>OS-2026022702</t>
  </si>
  <si>
    <t>鼎呱呱文具-泰拓</t>
  </si>
  <si>
    <t>OS-2026070202</t>
  </si>
  <si>
    <t>OS-2026070401</t>
  </si>
  <si>
    <t>鼎呱呱-deeps公司 陈静</t>
  </si>
  <si>
    <t>2400制版费</t>
  </si>
  <si>
    <t>OS-2026070402</t>
  </si>
  <si>
    <t>OS-2026063001</t>
  </si>
  <si>
    <t>鼎呱呱-雷川 陈静</t>
  </si>
  <si>
    <t>OS-2026070403</t>
  </si>
  <si>
    <t>OS-20260050801</t>
  </si>
  <si>
    <t>鼎呱呱-阿凡 陈静</t>
  </si>
  <si>
    <t>OS-2026052203</t>
  </si>
  <si>
    <t>OS-2026060401</t>
  </si>
  <si>
    <t>鼎呱呱-智利环贸 陈静</t>
  </si>
  <si>
    <t>OS-2026062901</t>
  </si>
  <si>
    <t>鼎呱呱-优哈优MB 李欣</t>
  </si>
  <si>
    <t>OS-2026070601</t>
  </si>
  <si>
    <t>质量问题，返工补发</t>
  </si>
  <si>
    <t>OS-2026060302</t>
  </si>
  <si>
    <t>鼎呱呱-南美郑斌 陈静</t>
  </si>
  <si>
    <t>OS-2026070301</t>
  </si>
  <si>
    <t>OS-2026070603</t>
  </si>
  <si>
    <t>OS-2026070801</t>
  </si>
  <si>
    <t>OS-2026070802</t>
  </si>
  <si>
    <t>OS-2026070902</t>
  </si>
  <si>
    <t>鼎呱呱-华越 陈静</t>
  </si>
  <si>
    <t>OS-2026071001</t>
  </si>
  <si>
    <t>OS-2026062402</t>
  </si>
  <si>
    <t>鼎呱呱-聚贤外贸 陈静</t>
  </si>
  <si>
    <t>OS-2026062903</t>
  </si>
  <si>
    <t>鼎呱呱-呈扬MM 陈静</t>
  </si>
  <si>
    <t>OS-2026070502</t>
  </si>
  <si>
    <t>鼎呱呱-芙罗 李欣</t>
  </si>
  <si>
    <t>OS-2026071602</t>
  </si>
  <si>
    <t>OS-2026071701</t>
  </si>
  <si>
    <t>OS-2026070201</t>
  </si>
  <si>
    <t>OS-2026071801</t>
  </si>
  <si>
    <t>OS-2026071101</t>
  </si>
  <si>
    <t>鼎呱呱-恩飒 陈静</t>
  </si>
  <si>
    <t>OS-2026071303</t>
  </si>
  <si>
    <t>鼎呱呱-兄弟贸易HT 陈静</t>
  </si>
  <si>
    <t>OS-2026071307</t>
  </si>
  <si>
    <t>OS-2026071501</t>
  </si>
  <si>
    <t>鼎呱呱-圣地 陈静</t>
  </si>
  <si>
    <t>OS-2026062502</t>
  </si>
  <si>
    <t>鼎呱呱-江北美扬 小祝</t>
  </si>
  <si>
    <t>OS-2026042001</t>
  </si>
  <si>
    <t>鼎呱呱-翔钰063客户</t>
  </si>
  <si>
    <t>OS-2026070501</t>
  </si>
  <si>
    <t>OS-2026070901</t>
  </si>
  <si>
    <t>鼎呱呱-爱允 李欣</t>
  </si>
  <si>
    <t>OS-2026071002</t>
  </si>
  <si>
    <t>OS-2026071902</t>
  </si>
  <si>
    <t>OS-2026061604</t>
  </si>
  <si>
    <t>鼎呱呱-红花 陈静</t>
  </si>
  <si>
    <t>OS-2026072601</t>
  </si>
  <si>
    <t>鼎呱呱-朵哈贸易PA 陈静</t>
  </si>
  <si>
    <t>OS-2026072602</t>
  </si>
  <si>
    <t>OS-2026072701</t>
  </si>
  <si>
    <t>OS-2026063003</t>
  </si>
  <si>
    <t>OS-2026071502</t>
  </si>
  <si>
    <t>鼎呱呱-宜惠 李欣</t>
  </si>
  <si>
    <t>OS-2026072001</t>
  </si>
  <si>
    <t>鼎呱呱-OKAY黄鸣华 李欣</t>
  </si>
  <si>
    <t>OS-2026072101</t>
  </si>
  <si>
    <t>鼎呱呱-印度SG 李欣</t>
  </si>
  <si>
    <t>OS-2026072301</t>
  </si>
  <si>
    <t>OS-2026073004</t>
  </si>
  <si>
    <t>OS-2026072801</t>
  </si>
  <si>
    <t>销售均价</t>
  </si>
  <si>
    <t>(空白)</t>
  </si>
  <si>
    <t>1-7月毛利润</t>
  </si>
  <si>
    <t>房租&amp;水电</t>
  </si>
  <si>
    <t>管理</t>
  </si>
  <si>
    <t>税费扣除</t>
  </si>
  <si>
    <t>1-7月净利润</t>
  </si>
  <si>
    <t>税率</t>
  </si>
  <si>
    <t>减去税率实收</t>
  </si>
  <si>
    <t>差值</t>
  </si>
  <si>
    <t>2006 三层横款文件盘</t>
  </si>
  <si>
    <t>2007 四层横款文件盘</t>
  </si>
  <si>
    <t>2008 五层横款文件盘</t>
  </si>
  <si>
    <t>总价</t>
  </si>
  <si>
    <t>9303-1 单联内圆弧杂志盒（二根杆）</t>
  </si>
  <si>
    <t>9303-1 单联内圆弧杂志盒（三根杆）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</si>
</sst>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m&quot;月&quot;d&quot;日&quot;;@"/>
    <numFmt numFmtId="178" formatCode="0_ "/>
  </numFmts>
  <fonts count="24">
    <font>
      <sz val="11"/>
      <color theme="1"/>
      <name val="宋体"/>
      <charset val="134"/>
      <scheme val="minor"/>
    </font>
    <font>
      <sz val="12"/>
      <color theme="1"/>
      <name val="黑体"/>
      <charset val="134"/>
    </font>
    <font>
      <sz val="12"/>
      <name val="黑体"/>
      <charset val="134"/>
    </font>
    <font>
      <sz val="12"/>
      <color theme="0"/>
      <name val="黑体"/>
      <charset val="134"/>
    </font>
    <font>
      <sz val="12"/>
      <color rgb="FF000000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9999084444715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108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176" fontId="0" fillId="3" borderId="0" xfId="0" applyNumberFormat="1" applyFill="1">
      <alignment vertical="center"/>
    </xf>
    <xf numFmtId="0" fontId="0" fillId="0" borderId="1" xfId="0" applyNumberFormat="1" applyFont="1" applyFill="1" applyBorder="1" applyAlignment="1" applyProtection="1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0" fontId="1" fillId="0" borderId="0" xfId="0" applyFont="1" applyFill="1" applyAlignment="1">
      <alignment vertical="center"/>
    </xf>
    <xf numFmtId="0" fontId="2" fillId="4" borderId="2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0" borderId="2" xfId="0" applyFont="1" applyFill="1" applyBorder="1" applyAlignment="1">
      <alignment horizontal="left" vertical="top"/>
    </xf>
    <xf numFmtId="177" fontId="3" fillId="5" borderId="2" xfId="0" applyNumberFormat="1" applyFont="1" applyFill="1" applyBorder="1" applyAlignment="1" applyProtection="1">
      <alignment horizontal="left" vertical="center"/>
      <protection locked="0"/>
    </xf>
    <xf numFmtId="0" fontId="3" fillId="5" borderId="2" xfId="0" applyFont="1" applyFill="1" applyBorder="1" applyAlignment="1" applyProtection="1">
      <alignment horizontal="left" vertical="center"/>
      <protection locked="0"/>
    </xf>
    <xf numFmtId="178" fontId="3" fillId="5" borderId="2" xfId="0" applyNumberFormat="1" applyFont="1" applyFill="1" applyBorder="1" applyAlignment="1" applyProtection="1">
      <alignment horizontal="left" vertical="center"/>
      <protection locked="0"/>
    </xf>
    <xf numFmtId="40" fontId="3" fillId="5" borderId="2" xfId="0" applyNumberFormat="1" applyFont="1" applyFill="1" applyBorder="1" applyAlignment="1" applyProtection="1">
      <alignment horizontal="left" vertical="center"/>
      <protection locked="0"/>
    </xf>
    <xf numFmtId="177" fontId="2" fillId="4" borderId="2" xfId="0" applyNumberFormat="1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1" fillId="4" borderId="2" xfId="0" applyFont="1" applyFill="1" applyBorder="1" applyAlignment="1" applyProtection="1">
      <alignment horizontal="left" vertical="center"/>
      <protection locked="0"/>
    </xf>
    <xf numFmtId="40" fontId="1" fillId="4" borderId="2" xfId="0" applyNumberFormat="1" applyFont="1" applyFill="1" applyBorder="1" applyAlignment="1" applyProtection="1">
      <alignment horizontal="left" vertical="center"/>
    </xf>
    <xf numFmtId="177" fontId="1" fillId="4" borderId="2" xfId="0" applyNumberFormat="1" applyFont="1" applyFill="1" applyBorder="1" applyAlignment="1" applyProtection="1">
      <alignment horizontal="left" vertical="center"/>
      <protection locked="0"/>
    </xf>
    <xf numFmtId="0" fontId="1" fillId="4" borderId="2" xfId="0" applyFont="1" applyFill="1" applyBorder="1" applyAlignment="1">
      <alignment horizontal="left" vertical="center"/>
    </xf>
    <xf numFmtId="0" fontId="1" fillId="4" borderId="2" xfId="0" applyFont="1" applyFill="1" applyBorder="1" applyAlignment="1" applyProtection="1">
      <alignment horizontal="left" vertical="center" wrapText="1"/>
      <protection locked="0"/>
    </xf>
    <xf numFmtId="0" fontId="2" fillId="4" borderId="2" xfId="0" applyFont="1" applyFill="1" applyBorder="1" applyAlignment="1">
      <alignment horizontal="left" vertical="center" wrapText="1"/>
    </xf>
    <xf numFmtId="40" fontId="1" fillId="4" borderId="2" xfId="0" applyNumberFormat="1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 wrapText="1"/>
    </xf>
    <xf numFmtId="177" fontId="4" fillId="6" borderId="2" xfId="0" applyNumberFormat="1" applyFont="1" applyFill="1" applyBorder="1" applyAlignment="1">
      <alignment horizontal="left" vertical="center" wrapText="1"/>
    </xf>
    <xf numFmtId="0" fontId="4" fillId="6" borderId="2" xfId="0" applyFont="1" applyFill="1" applyBorder="1" applyAlignment="1" applyProtection="1">
      <alignment horizontal="left" vertical="center" wrapText="1"/>
      <protection locked="0"/>
    </xf>
    <xf numFmtId="0" fontId="4" fillId="7" borderId="2" xfId="0" applyFont="1" applyFill="1" applyBorder="1" applyAlignment="1">
      <alignment horizontal="left" vertical="center" wrapText="1"/>
    </xf>
    <xf numFmtId="177" fontId="4" fillId="7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 applyProtection="1">
      <alignment horizontal="left" vertical="center" wrapText="1"/>
      <protection locked="0"/>
    </xf>
    <xf numFmtId="177" fontId="2" fillId="0" borderId="2" xfId="0" applyNumberFormat="1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58" fontId="4" fillId="6" borderId="2" xfId="0" applyNumberFormat="1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177" fontId="2" fillId="3" borderId="2" xfId="0" applyNumberFormat="1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 applyProtection="1">
      <alignment horizontal="left" vertical="center" wrapText="1"/>
      <protection locked="0"/>
    </xf>
    <xf numFmtId="40" fontId="1" fillId="3" borderId="2" xfId="0" applyNumberFormat="1" applyFont="1" applyFill="1" applyBorder="1" applyAlignment="1" applyProtection="1">
      <alignment horizontal="left" vertical="center"/>
    </xf>
    <xf numFmtId="177" fontId="4" fillId="4" borderId="2" xfId="0" applyNumberFormat="1" applyFont="1" applyFill="1" applyBorder="1" applyAlignment="1">
      <alignment horizontal="left" vertical="center" wrapText="1"/>
    </xf>
    <xf numFmtId="0" fontId="4" fillId="4" borderId="2" xfId="0" applyFont="1" applyFill="1" applyBorder="1" applyAlignment="1" applyProtection="1">
      <alignment horizontal="left" vertical="center" wrapText="1"/>
      <protection locked="0"/>
    </xf>
    <xf numFmtId="0" fontId="4" fillId="0" borderId="2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vertical="center" wrapText="1"/>
    </xf>
    <xf numFmtId="177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left" vertical="center"/>
    </xf>
    <xf numFmtId="0" fontId="4" fillId="0" borderId="2" xfId="0" applyFont="1" applyFill="1" applyBorder="1" applyAlignment="1" applyProtection="1">
      <alignment horizontal="left" vertical="center" wrapText="1"/>
      <protection locked="0"/>
    </xf>
    <xf numFmtId="58" fontId="4" fillId="3" borderId="2" xfId="0" applyNumberFormat="1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/>
    </xf>
    <xf numFmtId="0" fontId="2" fillId="0" borderId="4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top"/>
    </xf>
    <xf numFmtId="177" fontId="2" fillId="4" borderId="2" xfId="0" applyNumberFormat="1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left" vertical="top" wrapText="1"/>
    </xf>
    <xf numFmtId="0" fontId="4" fillId="7" borderId="2" xfId="0" applyFont="1" applyFill="1" applyBorder="1" applyAlignment="1" applyProtection="1">
      <alignment horizontal="left" vertical="top" wrapText="1"/>
      <protection locked="0"/>
    </xf>
    <xf numFmtId="0" fontId="4" fillId="0" borderId="2" xfId="0" applyFont="1" applyFill="1" applyBorder="1" applyAlignment="1" applyProtection="1">
      <alignment horizontal="left" vertical="top" wrapText="1"/>
      <protection locked="0"/>
    </xf>
    <xf numFmtId="0" fontId="4" fillId="4" borderId="2" xfId="0" applyFont="1" applyFill="1" applyBorder="1" applyAlignment="1">
      <alignment vertical="top" wrapText="1"/>
    </xf>
    <xf numFmtId="177" fontId="4" fillId="4" borderId="2" xfId="0" applyNumberFormat="1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4" fillId="6" borderId="2" xfId="0" applyFont="1" applyFill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vertical="top"/>
    </xf>
    <xf numFmtId="0" fontId="2" fillId="4" borderId="2" xfId="0" applyFont="1" applyFill="1" applyBorder="1" applyAlignment="1">
      <alignment vertical="top" wrapText="1"/>
    </xf>
    <xf numFmtId="0" fontId="4" fillId="7" borderId="2" xfId="0" applyFont="1" applyFill="1" applyBorder="1" applyAlignment="1">
      <alignment horizontal="left" vertical="top" wrapText="1"/>
    </xf>
    <xf numFmtId="0" fontId="4" fillId="4" borderId="2" xfId="0" applyFont="1" applyFill="1" applyBorder="1" applyAlignment="1" applyProtection="1">
      <alignment horizontal="left" vertical="top" wrapText="1"/>
      <protection locked="0"/>
    </xf>
    <xf numFmtId="0" fontId="4" fillId="4" borderId="2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/>
    </xf>
    <xf numFmtId="177" fontId="2" fillId="4" borderId="6" xfId="0" applyNumberFormat="1" applyFont="1" applyFill="1" applyBorder="1" applyAlignment="1">
      <alignment horizontal="left" vertical="top"/>
    </xf>
    <xf numFmtId="0" fontId="2" fillId="4" borderId="6" xfId="0" applyFont="1" applyFill="1" applyBorder="1" applyAlignment="1">
      <alignment horizontal="left" vertical="top" wrapText="1"/>
    </xf>
    <xf numFmtId="0" fontId="2" fillId="0" borderId="6" xfId="0" applyFont="1" applyFill="1" applyBorder="1" applyAlignment="1">
      <alignment horizontal="left" vertical="top"/>
    </xf>
    <xf numFmtId="0" fontId="4" fillId="0" borderId="6" xfId="0" applyFont="1" applyFill="1" applyBorder="1" applyAlignment="1" applyProtection="1">
      <alignment horizontal="left" vertical="top" wrapText="1"/>
      <protection locked="0"/>
    </xf>
    <xf numFmtId="0" fontId="2" fillId="0" borderId="6" xfId="0" applyFont="1" applyFill="1" applyBorder="1" applyAlignment="1">
      <alignment vertical="center"/>
    </xf>
    <xf numFmtId="177" fontId="2" fillId="0" borderId="2" xfId="0" applyNumberFormat="1" applyFont="1" applyFill="1" applyBorder="1" applyAlignment="1">
      <alignment horizontal="left" vertical="top"/>
    </xf>
    <xf numFmtId="0" fontId="2" fillId="0" borderId="2" xfId="0" applyFont="1" applyFill="1" applyBorder="1" applyAlignment="1">
      <alignment horizontal="left" vertical="top" wrapText="1"/>
    </xf>
    <xf numFmtId="0" fontId="2" fillId="0" borderId="7" xfId="0" applyFont="1" applyFill="1" applyBorder="1" applyAlignment="1">
      <alignment vertical="center"/>
    </xf>
    <xf numFmtId="0" fontId="2" fillId="4" borderId="7" xfId="0" applyFont="1" applyFill="1" applyBorder="1" applyAlignment="1">
      <alignment vertical="center"/>
    </xf>
    <xf numFmtId="0" fontId="2" fillId="0" borderId="7" xfId="0" applyFont="1" applyFill="1" applyBorder="1" applyAlignment="1">
      <alignment vertical="center" wrapText="1"/>
    </xf>
    <xf numFmtId="0" fontId="2" fillId="0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top"/>
    </xf>
    <xf numFmtId="177" fontId="2" fillId="3" borderId="2" xfId="0" applyNumberFormat="1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top" wrapText="1"/>
    </xf>
    <xf numFmtId="177" fontId="4" fillId="3" borderId="2" xfId="0" applyNumberFormat="1" applyFont="1" applyFill="1" applyBorder="1" applyAlignment="1">
      <alignment horizontal="left" vertical="top" wrapText="1"/>
    </xf>
    <xf numFmtId="0" fontId="4" fillId="0" borderId="2" xfId="0" applyFont="1" applyFill="1" applyBorder="1" applyAlignment="1">
      <alignment horizontal="left" vertical="top" wrapText="1"/>
    </xf>
    <xf numFmtId="0" fontId="4" fillId="3" borderId="2" xfId="0" applyFont="1" applyFill="1" applyBorder="1" applyAlignment="1" applyProtection="1">
      <alignment horizontal="left" vertical="top" wrapText="1"/>
      <protection locked="0"/>
    </xf>
    <xf numFmtId="0" fontId="2" fillId="8" borderId="2" xfId="0" applyFont="1" applyFill="1" applyBorder="1" applyAlignment="1">
      <alignment horizontal="left" vertical="top"/>
    </xf>
    <xf numFmtId="177" fontId="2" fillId="8" borderId="2" xfId="0" applyNumberFormat="1" applyFont="1" applyFill="1" applyBorder="1" applyAlignment="1">
      <alignment horizontal="left" vertical="top"/>
    </xf>
    <xf numFmtId="0" fontId="2" fillId="8" borderId="2" xfId="0" applyFont="1" applyFill="1" applyBorder="1" applyAlignment="1">
      <alignment horizontal="left" vertical="top" wrapText="1"/>
    </xf>
    <xf numFmtId="0" fontId="4" fillId="8" borderId="2" xfId="0" applyFont="1" applyFill="1" applyBorder="1" applyAlignment="1" applyProtection="1">
      <alignment horizontal="left" vertical="top" wrapText="1"/>
      <protection locked="0"/>
    </xf>
    <xf numFmtId="0" fontId="2" fillId="8" borderId="2" xfId="0" applyFont="1" applyFill="1" applyBorder="1" applyAlignment="1">
      <alignment vertical="center"/>
    </xf>
    <xf numFmtId="0" fontId="2" fillId="3" borderId="6" xfId="0" applyFont="1" applyFill="1" applyBorder="1" applyAlignment="1">
      <alignment horizontal="left" vertical="top"/>
    </xf>
    <xf numFmtId="177" fontId="2" fillId="3" borderId="6" xfId="0" applyNumberFormat="1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 wrapText="1"/>
    </xf>
    <xf numFmtId="14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numFmt numFmtId="179" formatCode="yyyy\/m\/d"/>
    </dxf>
    <dxf>
      <fill>
        <patternFill patternType="solid">
          <bgColor theme="0" tint="-0.049989318521683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www.wps.cn/officeDocument/2020/cellImage" Target="cellimag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[1-7月核算.xlsx]Sheet4!数据透视表3</c:name>
    <c:fmtId val="0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求和项:数    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Sheet4!$A$4:$B$24</c:f>
              <c:multiLvlStrCache>
                <c:ptCount val="10"/>
                <c:lvl>
                  <c:pt idx="0">
                    <c:v>是</c:v>
                  </c:pt>
                  <c:pt idx="1">
                    <c:v>是</c:v>
                  </c:pt>
                  <c:pt idx="2">
                    <c:v>是</c:v>
                  </c:pt>
                  <c:pt idx="3">
                    <c:v>是</c:v>
                  </c:pt>
                  <c:pt idx="4">
                    <c:v>是</c:v>
                  </c:pt>
                  <c:pt idx="5">
                    <c:v>是</c:v>
                  </c:pt>
                  <c:pt idx="6">
                    <c:v>是</c:v>
                  </c:pt>
                  <c:pt idx="7">
                    <c:v>是</c:v>
                  </c:pt>
                  <c:pt idx="8">
                    <c:v>是</c:v>
                  </c:pt>
                  <c:pt idx="9">
                    <c:v>是</c:v>
                  </c:pt>
                </c:lvl>
                <c:lvl>
                  <c:pt idx="0">
                    <c:v>2001 三层文件盘（尖角）</c:v>
                  </c:pt>
                  <c:pt idx="1">
                    <c:v>2001C 四层文件盘（尖角）</c:v>
                  </c:pt>
                  <c:pt idx="2">
                    <c:v>2001C 四层文件盘（圆弧）</c:v>
                  </c:pt>
                  <c:pt idx="3">
                    <c:v>2002 二层文件盘（尖角）</c:v>
                  </c:pt>
                  <c:pt idx="4">
                    <c:v>2005 五层文件盘（尖角）</c:v>
                  </c:pt>
                  <c:pt idx="5">
                    <c:v>9303-2 二联内圆弧杂志盒（三根杆）</c:v>
                  </c:pt>
                  <c:pt idx="6">
                    <c:v>9303-3 三联内圆弧杂志盒(三根杆）</c:v>
                  </c:pt>
                  <c:pt idx="7">
                    <c:v>9303-4 四联内圆弧杂志盒(三根杆）</c:v>
                  </c:pt>
                  <c:pt idx="8">
                    <c:v>9304-3 三联直角杂志盒</c:v>
                  </c:pt>
                  <c:pt idx="9">
                    <c:v>9304-4 四联直角杂志盒</c:v>
                  </c:pt>
                </c:lvl>
              </c:multiLvlStrCache>
            </c:multiLvlStrRef>
          </c:cat>
          <c:val>
            <c:numRef>
              <c:f>Sheet4!$C$4:$C$24</c:f>
              <c:numCache>
                <c:formatCode>General</c:formatCode>
                <c:ptCount val="10"/>
                <c:pt idx="0">
                  <c:v>8520</c:v>
                </c:pt>
                <c:pt idx="1">
                  <c:v>7824</c:v>
                </c:pt>
                <c:pt idx="2">
                  <c:v>2220</c:v>
                </c:pt>
                <c:pt idx="3">
                  <c:v>1044</c:v>
                </c:pt>
                <c:pt idx="4">
                  <c:v>1008</c:v>
                </c:pt>
                <c:pt idx="5">
                  <c:v>120</c:v>
                </c:pt>
                <c:pt idx="6">
                  <c:v>120</c:v>
                </c:pt>
                <c:pt idx="7">
                  <c:v>240</c:v>
                </c:pt>
                <c:pt idx="8">
                  <c:v>2760</c:v>
                </c:pt>
                <c:pt idx="9">
                  <c:v>3120</c:v>
                </c:pt>
              </c:numCache>
            </c:numRef>
          </c:val>
        </c:ser>
        <c:ser>
          <c:idx val="1"/>
          <c:order val="1"/>
          <c:tx>
            <c:strRef>
              <c:f>Sheet4!$D$3</c:f>
              <c:strCache>
                <c:ptCount val="1"/>
                <c:pt idx="0">
                  <c:v>求和项:箱数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Sheet4!$A$4:$B$24</c:f>
              <c:multiLvlStrCache>
                <c:ptCount val="10"/>
                <c:lvl>
                  <c:pt idx="0">
                    <c:v>是</c:v>
                  </c:pt>
                  <c:pt idx="1">
                    <c:v>是</c:v>
                  </c:pt>
                  <c:pt idx="2">
                    <c:v>是</c:v>
                  </c:pt>
                  <c:pt idx="3">
                    <c:v>是</c:v>
                  </c:pt>
                  <c:pt idx="4">
                    <c:v>是</c:v>
                  </c:pt>
                  <c:pt idx="5">
                    <c:v>是</c:v>
                  </c:pt>
                  <c:pt idx="6">
                    <c:v>是</c:v>
                  </c:pt>
                  <c:pt idx="7">
                    <c:v>是</c:v>
                  </c:pt>
                  <c:pt idx="8">
                    <c:v>是</c:v>
                  </c:pt>
                  <c:pt idx="9">
                    <c:v>是</c:v>
                  </c:pt>
                </c:lvl>
                <c:lvl>
                  <c:pt idx="0">
                    <c:v>2001 三层文件盘（尖角）</c:v>
                  </c:pt>
                  <c:pt idx="1">
                    <c:v>2001C 四层文件盘（尖角）</c:v>
                  </c:pt>
                  <c:pt idx="2">
                    <c:v>2001C 四层文件盘（圆弧）</c:v>
                  </c:pt>
                  <c:pt idx="3">
                    <c:v>2002 二层文件盘（尖角）</c:v>
                  </c:pt>
                  <c:pt idx="4">
                    <c:v>2005 五层文件盘（尖角）</c:v>
                  </c:pt>
                  <c:pt idx="5">
                    <c:v>9303-2 二联内圆弧杂志盒（三根杆）</c:v>
                  </c:pt>
                  <c:pt idx="6">
                    <c:v>9303-3 三联内圆弧杂志盒(三根杆）</c:v>
                  </c:pt>
                  <c:pt idx="7">
                    <c:v>9303-4 四联内圆弧杂志盒(三根杆）</c:v>
                  </c:pt>
                  <c:pt idx="8">
                    <c:v>9304-3 三联直角杂志盒</c:v>
                  </c:pt>
                  <c:pt idx="9">
                    <c:v>9304-4 四联直角杂志盒</c:v>
                  </c:pt>
                </c:lvl>
              </c:multiLvlStrCache>
            </c:multiLvlStrRef>
          </c:cat>
          <c:val>
            <c:numRef>
              <c:f>Sheet4!$D$4:$D$24</c:f>
              <c:numCache>
                <c:formatCode>General</c:formatCode>
                <c:ptCount val="10"/>
                <c:pt idx="0">
                  <c:v>710</c:v>
                </c:pt>
                <c:pt idx="1">
                  <c:v>697</c:v>
                </c:pt>
                <c:pt idx="2">
                  <c:v>195</c:v>
                </c:pt>
                <c:pt idx="3">
                  <c:v>87</c:v>
                </c:pt>
                <c:pt idx="4">
                  <c:v>84</c:v>
                </c:pt>
                <c:pt idx="5">
                  <c:v>10</c:v>
                </c:pt>
                <c:pt idx="6">
                  <c:v>10</c:v>
                </c:pt>
                <c:pt idx="7">
                  <c:v>20</c:v>
                </c:pt>
                <c:pt idx="8">
                  <c:v>230</c:v>
                </c:pt>
                <c:pt idx="9">
                  <c:v>260</c:v>
                </c:pt>
              </c:numCache>
            </c:numRef>
          </c:val>
        </c:ser>
        <c:ser>
          <c:idx val="2"/>
          <c:order val="2"/>
          <c:tx>
            <c:strRef>
              <c:f>Sheet4!$E$3</c:f>
              <c:strCache>
                <c:ptCount val="1"/>
                <c:pt idx="0">
                  <c:v>求和项:金    额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Sheet4!$A$4:$B$24</c:f>
              <c:multiLvlStrCache>
                <c:ptCount val="10"/>
                <c:lvl>
                  <c:pt idx="0">
                    <c:v>是</c:v>
                  </c:pt>
                  <c:pt idx="1">
                    <c:v>是</c:v>
                  </c:pt>
                  <c:pt idx="2">
                    <c:v>是</c:v>
                  </c:pt>
                  <c:pt idx="3">
                    <c:v>是</c:v>
                  </c:pt>
                  <c:pt idx="4">
                    <c:v>是</c:v>
                  </c:pt>
                  <c:pt idx="5">
                    <c:v>是</c:v>
                  </c:pt>
                  <c:pt idx="6">
                    <c:v>是</c:v>
                  </c:pt>
                  <c:pt idx="7">
                    <c:v>是</c:v>
                  </c:pt>
                  <c:pt idx="8">
                    <c:v>是</c:v>
                  </c:pt>
                  <c:pt idx="9">
                    <c:v>是</c:v>
                  </c:pt>
                </c:lvl>
                <c:lvl>
                  <c:pt idx="0">
                    <c:v>2001 三层文件盘（尖角）</c:v>
                  </c:pt>
                  <c:pt idx="1">
                    <c:v>2001C 四层文件盘（尖角）</c:v>
                  </c:pt>
                  <c:pt idx="2">
                    <c:v>2001C 四层文件盘（圆弧）</c:v>
                  </c:pt>
                  <c:pt idx="3">
                    <c:v>2002 二层文件盘（尖角）</c:v>
                  </c:pt>
                  <c:pt idx="4">
                    <c:v>2005 五层文件盘（尖角）</c:v>
                  </c:pt>
                  <c:pt idx="5">
                    <c:v>9303-2 二联内圆弧杂志盒（三根杆）</c:v>
                  </c:pt>
                  <c:pt idx="6">
                    <c:v>9303-3 三联内圆弧杂志盒(三根杆）</c:v>
                  </c:pt>
                  <c:pt idx="7">
                    <c:v>9303-4 四联内圆弧杂志盒(三根杆）</c:v>
                  </c:pt>
                  <c:pt idx="8">
                    <c:v>9304-3 三联直角杂志盒</c:v>
                  </c:pt>
                  <c:pt idx="9">
                    <c:v>9304-4 四联直角杂志盒</c:v>
                  </c:pt>
                </c:lvl>
              </c:multiLvlStrCache>
            </c:multiLvlStrRef>
          </c:cat>
          <c:val>
            <c:numRef>
              <c:f>Sheet4!$E$4:$E$24</c:f>
              <c:numCache>
                <c:formatCode>General</c:formatCode>
                <c:ptCount val="10"/>
                <c:pt idx="0">
                  <c:v>119905.2</c:v>
                </c:pt>
                <c:pt idx="1">
                  <c:v>134194.752</c:v>
                </c:pt>
                <c:pt idx="2">
                  <c:v>36705</c:v>
                </c:pt>
                <c:pt idx="3">
                  <c:v>13057.2</c:v>
                </c:pt>
                <c:pt idx="4">
                  <c:v>20139.84</c:v>
                </c:pt>
                <c:pt idx="5">
                  <c:v>1684.8</c:v>
                </c:pt>
                <c:pt idx="6">
                  <c:v>2073.6</c:v>
                </c:pt>
                <c:pt idx="7">
                  <c:v>5002.56</c:v>
                </c:pt>
                <c:pt idx="8">
                  <c:v>45606.24</c:v>
                </c:pt>
                <c:pt idx="9">
                  <c:v>63011.52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3150516"/>
        <c:axId val="108748918"/>
      </c:barChart>
      <c:catAx>
        <c:axId val="2931505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8748918"/>
        <c:crosses val="autoZero"/>
        <c:auto val="1"/>
        <c:lblAlgn val="ctr"/>
        <c:lblOffset val="100"/>
        <c:noMultiLvlLbl val="0"/>
      </c:catAx>
      <c:valAx>
        <c:axId val="1087489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31505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8d39b87-650d-41a2-967c-d213feac6c3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508000</xdr:colOff>
      <xdr:row>22</xdr:row>
      <xdr:rowOff>101600</xdr:rowOff>
    </xdr:from>
    <xdr:to>
      <xdr:col>23</xdr:col>
      <xdr:colOff>457200</xdr:colOff>
      <xdr:row>38</xdr:row>
      <xdr:rowOff>0</xdr:rowOff>
    </xdr:to>
    <xdr:graphicFrame>
      <xdr:nvGraphicFramePr>
        <xdr:cNvPr id="2" name="图表 1"/>
        <xdr:cNvGraphicFramePr/>
      </xdr:nvGraphicFramePr>
      <xdr:xfrm>
        <a:off x="15071090" y="40132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2353310</xdr:colOff>
      <xdr:row>167</xdr:row>
      <xdr:rowOff>812800</xdr:rowOff>
    </xdr:from>
    <xdr:to>
      <xdr:col>3</xdr:col>
      <xdr:colOff>2362835</xdr:colOff>
      <xdr:row>169</xdr:row>
      <xdr:rowOff>6985</xdr:rowOff>
    </xdr:to>
    <xdr:pic>
      <xdr:nvPicPr>
        <xdr:cNvPr id="2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919210" y="6667500"/>
          <a:ext cx="9525" cy="6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2352675</xdr:colOff>
      <xdr:row>192</xdr:row>
      <xdr:rowOff>812800</xdr:rowOff>
    </xdr:from>
    <xdr:to>
      <xdr:col>3</xdr:col>
      <xdr:colOff>2364105</xdr:colOff>
      <xdr:row>194</xdr:row>
      <xdr:rowOff>6985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918575" y="12268200"/>
          <a:ext cx="11430" cy="292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3</xdr:col>
      <xdr:colOff>2352675</xdr:colOff>
      <xdr:row>193</xdr:row>
      <xdr:rowOff>812800</xdr:rowOff>
    </xdr:from>
    <xdr:to>
      <xdr:col>3</xdr:col>
      <xdr:colOff>2364105</xdr:colOff>
      <xdr:row>195</xdr:row>
      <xdr:rowOff>6985</xdr:rowOff>
    </xdr:to>
    <xdr:pic>
      <xdr:nvPicPr>
        <xdr:cNvPr id="4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918575" y="12553950"/>
          <a:ext cx="11430" cy="2927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6573842593" refreshedBy="Mayn" recordCount="610">
  <cacheSource type="worksheet">
    <worksheetSource ref="A1:N1048576" sheet="Sheet1"/>
  </cacheSource>
  <cacheFields count="14">
    <cacheField name="订单编号" numFmtId="0">
      <sharedItems containsBlank="1" count="257">
        <m/>
        <s v="OS-2026030301_x000a_"/>
        <s v="OS-2026030206"/>
        <s v="OS-2026030806"/>
        <s v="OS-2026030904"/>
        <s v="OS-2026030401_x000a_"/>
        <s v="OS-2026030402"/>
        <s v="OS-2026031202"/>
        <s v="OS-2026031603"/>
        <s v="OS-2026031701"/>
        <s v="OS-2026031702"/>
        <s v="OS-2026030204"/>
        <s v="OS-2026030601"/>
        <s v="OS-2026030802"/>
        <s v="OS-2026030804"/>
        <s v="OS-2026031003"/>
        <s v="OS-2026031401"/>
        <s v="OS-2026031203"/>
        <s v="OS-2026031102"/>
        <s v="OS-2026031601"/>
        <s v="OS-2026031801"/>
        <s v="OS-2026031902"/>
        <s v="OS-2026030805"/>
        <s v="OS-2026031301"/>
        <s v="OS-2026032002"/>
        <s v="OS-2026030803"/>
        <s v="OS-2026031001"/>
        <s v="OS-2026032102"/>
        <s v="OS-2026032104"/>
        <s v="OS-2026032003"/>
        <s v="OS-2026030801"/>
        <s v="OS-2026032103"/>
        <s v="OS-2026032401"/>
        <s v="OS-2026032503"/>
        <s v="OS-2026032801"/>
        <s v="OS-2026033101"/>
        <s v="OS-2026032001"/>
        <s v="OS-2026040201"/>
        <s v="OS-2026040202"/>
        <s v="OS-2026032201"/>
        <s v="OS-2026032301"/>
        <s v="OS-2026032402"/>
        <s v="OS-2026032501"/>
        <s v="OS-20260012101"/>
        <s v="OS-2026031201"/>
        <s v="OS-2026032502"/>
        <s v="OS-2026033002"/>
        <s v="OS-2026040701"/>
        <s v="OS-2026031501"/>
        <s v="OS-2026033001"/>
        <s v="OS-2026040403"/>
        <s v="OS-2026040901"/>
        <s v="OS-2026041203"/>
        <s v="OS-2026041204"/>
        <s v="OS-2026041205"/>
        <s v="OS-2026031502"/>
        <s v="OS-2026031306"/>
        <s v="OS-2026030201"/>
        <s v="OS-2026030902"/>
        <s v="OS-2026031304"/>
        <s v="OS-2026032701"/>
        <s v="OS-2026032703"/>
        <s v="OS-20260400101"/>
        <s v="OS-2026041202"/>
        <s v="OS-2026041402"/>
        <s v="OS-2026041503"/>
        <s v="OS-2026031803"/>
        <s v="OS-2026042102"/>
        <s v="OS-2026030203"/>
        <s v="OS-2026031002"/>
        <s v="OS-2026040205"/>
        <s v="OS-2026042302"/>
        <s v="OS-2026030202"/>
        <s v="OS-2026040401"/>
        <s v="OS-2026040801               "/>
        <s v="OS-2026041302"/>
        <s v="OS-2026041502"/>
        <s v="OS-2026042503"/>
        <s v="OS-2026042202"/>
        <s v="OS-2026042301"/>
        <s v="OS-2026041301"/>
        <s v="OS-2026042201"/>
        <s v="OS-2026042803"/>
        <s v="OS-2026031802"/>
        <s v="OS-2026040402"/>
        <s v="OS-2026042401"/>
        <s v="OS-2026031303"/>
        <s v="OS-2026042004"/>
        <s v="OS-2026042005"/>
        <s v="OS-20260050501"/>
        <s v="OS-20260050503"/>
        <s v="OS-2026042801"/>
        <s v="OS-2026042802"/>
        <s v="OS-20260050703"/>
        <s v="OS-20260050805"/>
        <s v="OS-2026041901"/>
        <s v="OS-20260050401"/>
        <s v="OS-20260050403"/>
        <s v="OS-2026050902"/>
        <s v="OS-2026050903"/>
        <s v="OS-2026040207"/>
        <s v="OS-2026051001"/>
        <s v="OS-2026022701"/>
        <s v="OS-2026041001"/>
        <s v="OS-2026042701"/>
        <s v="OS-20260050502"/>
        <s v="OS-2026051101"/>
        <s v="OS-2026050901"/>
        <s v="OS-2026042601"/>
        <s v="OS-2026051504"/>
        <s v="OS-2026040404"/>
        <s v="OS-20260050406"/>
        <s v="OS-20260050409"/>
        <s v="OS-20260050802"/>
        <s v="OS-2026051302"/>
        <s v="OS-2026051401"/>
        <s v="OS-2026051701"/>
        <s v="OS-2026032403"/>
        <s v="OS-2026051304"/>
        <s v="OS-2026051303"/>
        <s v="OS-2026042703"/>
        <s v="OS-20260050405"/>
        <s v="OS-20260051001"/>
        <s v="OS-20260051002"/>
        <s v="OS-2026051306"/>
        <s v="OS-2026052001"/>
        <s v="OS-2026052002"/>
        <s v="OS-2026052003"/>
        <s v="OS-2026040802"/>
        <s v="OS-2026042702"/>
        <s v="OS-2026051201"/>
        <s v="OS-2026052302"/>
        <s v="OS-2026042002"/>
        <s v="OS-2026042501"/>
        <s v="OS-2026051103"/>
        <s v="OS-2026051301"/>
        <s v="OS-2026052404"/>
        <s v="OS-2026052405"/>
        <s v="OS-2026051502"/>
        <s v="OS-2026052501"/>
        <s v="OS-2026052503"/>
        <s v="OS-2026052601"/>
        <s v="OS-2026051002"/>
        <s v="OS-2026051501"/>
        <s v="OS-2026052201"/>
        <s v="OS-2026052604"/>
        <s v="OS-2026051902"/>
        <s v="OS-2026052401"/>
        <s v="OS-2026052602"/>
        <s v="OS-2026052603"/>
        <s v="OS-2026052607"/>
        <s v="OS-2026052802"/>
        <s v="OS-2026042502"/>
        <s v="OS-20260050404"/>
        <s v="OS-2026051602"/>
        <s v="OS-2026052101"/>
        <s v="OS-2026052204"/>
        <s v="OS-2026052301"/>
        <s v="OS-2026053004"/>
        <s v="OS-2026051202"/>
        <s v="OS-2026052606"/>
        <s v="OS-2026052608"/>
        <s v="OS-2026051503"/>
        <s v="OS-2026052801"/>
        <s v="OS-2026053001"/>
        <s v="OS-2026053002"/>
        <s v="OS-2026060101"/>
        <s v="OS-2026060204"/>
        <s v="OS-2026060205"/>
        <s v="OS-2026060206"/>
        <s v="OS-2026060202"/>
        <s v="OS-2026061606"/>
        <s v="OS-2026060403"/>
        <s v="OS-2026060801"/>
        <s v="OS-2026060601"/>
        <s v="OS-2026060603"/>
        <s v="OS-2026062102"/>
        <s v="OS-2026060604"/>
        <s v="OS-2026060605"/>
        <s v="OS-2026060703"/>
        <s v="OS-2026061201"/>
        <s v="OS-2026061202"/>
        <s v="OS-2026061203"/>
        <s v="OS-2026061501"/>
        <s v="OS-2026060201"/>
        <s v="OS-2026061602"/>
        <s v="OS-2026061603"/>
        <s v="OS-2026061701"/>
        <s v="OS-2026061801"/>
        <s v="OS-2026062201"/>
        <s v="OS-2026062202"/>
        <s v="OS-2026062301"/>
        <s v="OS-2026062701"/>
        <s v="OS-2026060701"/>
        <s v="OS-2026062401"/>
        <s v="OS-2026062101"/>
        <s v="OS-2026051901"/>
        <s v="OS-2026060402"/>
        <s v="OS-2026060503"/>
        <s v="OS-2026061301"/>
        <s v="OS-2026061605"/>
        <s v="OS-2026062801"/>
        <s v="OS-2026070101"/>
        <s v="OS-20260050804"/>
        <s v="OS-2026051802"/>
        <s v="OS-2026060301"/>
        <s v="OS-2026060602"/>
        <s v="OS-2026063002"/>
        <s v="OS-2026070203"/>
        <s v="OS-2026022702"/>
        <s v="OS-2026070202"/>
        <s v="OS-2026070401"/>
        <s v="OS-2026070402"/>
        <s v="OS-2026063001"/>
        <s v="OS-2026070403"/>
        <s v="OS-20260050801"/>
        <s v="OS-2026052203"/>
        <s v="OS-2026060401"/>
        <s v="OS-2026062901"/>
        <s v="OS-2026030903"/>
        <s v="OS-2026070601"/>
        <s v="OS-2026060302"/>
        <s v="OS-2026070301"/>
        <s v="OS-2026070603"/>
        <s v="OS-2026070801"/>
        <s v="OS-2026070802"/>
        <s v="OS-2026070902"/>
        <s v="OS-2026071001"/>
        <s v="OS-2026062402"/>
        <s v="OS-2026062903"/>
        <s v="OS-2026070502"/>
        <s v="OS-2026071602"/>
        <s v="OS-2026071701"/>
        <s v="OS-2026070201"/>
        <s v="OS-2026071801"/>
        <s v="OS-2026071101"/>
        <s v="OS-2026071303"/>
        <s v="OS-2026071307"/>
        <s v="OS-2026071501"/>
        <s v="OS-2026062502"/>
        <s v="OS-2026042001"/>
        <s v="OS-2026070501"/>
        <s v="OS-2026070901"/>
        <s v="OS-2026061601"/>
        <s v="OS-2026071002"/>
        <s v="OS-2026071902"/>
        <s v="OS-2026061604"/>
        <s v="OS-2026072601"/>
        <s v="OS-2026072602"/>
        <s v="OS-2026072701"/>
        <s v="OS-2026063003"/>
        <s v="OS-2026071502"/>
        <s v="OS-2026072001"/>
        <s v="OS-2026072101"/>
        <s v="OS-2026072301"/>
        <s v="OS-2026073004"/>
        <s v="OS-2026072801"/>
      </sharedItems>
    </cacheField>
    <cacheField name="发货日期" numFmtId="0">
      <sharedItems containsString="0" containsBlank="1" containsNonDate="0" containsDate="1" minDate="2026-01-05T00:00:00" maxDate="2026-07-31T00:00:00" count="122">
        <d v="2026-01-05T00:00:00"/>
        <d v="2026-01-06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7T00:00:00"/>
        <d v="2026-01-19T00:00:00"/>
        <d v="2026-01-20T00:00:00"/>
        <d v="2026-01-24T00:00:00"/>
        <d v="2026-01-26T00:00:00"/>
        <d v="2026-01-27T00:00:00"/>
        <d v="2026-01-30T00:00:00"/>
        <d v="2026-01-31T00:00:00"/>
        <d v="2026-02-01T00:00:00"/>
        <d v="2026-02-02T00:00:00"/>
        <d v="2026-02-04T00:00:00"/>
        <d v="2026-03-03T00:00:00"/>
        <d v="2026-03-06T00:00:00"/>
        <d v="2026-03-08T00:00:00"/>
        <d v="2026-03-10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8T00:00:00"/>
        <d v="2026-03-31T00:00:00"/>
        <d v="2026-04-02T00:00:00"/>
        <d v="2026-04-04T00:00:00"/>
        <d v="2026-04-07T00:00:00"/>
        <d v="2026-04-08T00:00:00"/>
        <d v="2026-04-09T00:00:00"/>
        <d v="2026-04-11T00:00:00"/>
        <d v="2026-04-12T00:00:00"/>
        <d v="2026-04-13T00:00:00"/>
        <d v="2026-04-15T00:00:00"/>
        <d v="2026-04-17T00:00:00"/>
        <d v="2026-04-20T00:00:00"/>
        <d v="2026-04-21T00:00:00"/>
        <d v="2026-04-22T00:00:00"/>
        <d v="2026-04-23T00:00:00"/>
        <d v="2026-04-25T00:00:00"/>
        <d v="2026-04-26T00:00:00"/>
        <d v="2026-04-27T00:00:00"/>
        <d v="2026-04-28T00:00:00"/>
        <d v="2026-04-29T00:00:00"/>
        <d v="2026-05-04T00:00:00"/>
        <d v="2026-05-06T00:00:00"/>
        <d v="2026-05-07T00:00:00"/>
        <d v="2026-05-08T00:00:00"/>
        <d v="2026-05-09T00:00:00"/>
        <d v="2026-05-10T00:00:00"/>
        <d v="2026-05-12T00:00:00"/>
        <d v="2026-05-13T00:00:00"/>
        <d v="2026-05-15T00:00:00"/>
        <d v="2026-05-17T00:00:00"/>
        <d v="2026-05-18T00:00:00"/>
        <d v="2026-05-19T00:00:00"/>
        <d v="2026-05-20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30T00:00:00"/>
        <d v="2026-05-31T00:00:00"/>
        <d v="2026-06-13T00:00:00"/>
        <d v="2026-06-02T00:00:00"/>
        <d v="2026-06-16T00:00:00"/>
        <d v="2026-06-10T00:00:00"/>
        <d v="2026-06-07T00:00:00"/>
        <d v="2026-06-17T00:00:00"/>
        <d v="2026-06-23T00:00:00"/>
        <d v="2026-06-18T00:00:00"/>
        <d v="2026-06-06T00:00:00"/>
        <d v="2026-06-21T00:00:00"/>
        <d v="2026-06-12T00:00:00"/>
        <d v="2026-06-25T00:00:00"/>
        <d v="2026-06-22T00:00:00"/>
        <d v="2026-06-27T00:00:00"/>
        <d v="2026-06-29T00:00:00"/>
        <d v="2026-06-24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3T00:00:00"/>
        <d v="2026-07-14T00:00:00"/>
        <d v="2026-07-15T00:00:00"/>
        <d v="2026-07-17T00:00:00"/>
        <d v="2026-07-18T00:00:00"/>
        <d v="2026-07-19T00:00:00"/>
        <d v="2026-07-21T00:00:00"/>
        <d v="2026-07-23T00:00:00"/>
        <d v="2026-07-24T00:00:00"/>
        <d v="2026-07-25T00:00:00"/>
        <d v="2026-07-26T00:00:00"/>
        <d v="2026-07-27T00:00:00"/>
        <d v="2026-07-28T00:00:00"/>
        <d v="2026-07-30T00:00:00"/>
        <d v="2026-07-31T00:00:00"/>
        <m/>
      </sharedItems>
    </cacheField>
    <cacheField name="客户" numFmtId="0">
      <sharedItems containsBlank="1" count="167">
        <s v="鼎呱呱"/>
        <s v="义乌市槿睿贸易有限公司_x000a_"/>
        <s v="上海毅烁供应链管理有限公司"/>
        <s v="义乌市捷亚电子商务有限公司"/>
        <s v="宁波优智达办公用品有限公司"/>
        <s v="义乌兴邦文具"/>
        <s v="电商-文件栏-徐宁Ivan 💥"/>
        <s v="飞盛-丁玲"/>
        <s v="陈鹏利"/>
        <s v="义乌市灏蓝进出口有限公司"/>
        <s v="电商-文件框 latin"/>
        <s v="弗睿网络科技（广州）有限公司"/>
        <s v="鼎呱呱-蔻可"/>
        <s v="鼎呱呱-正珈"/>
        <s v="鼎呱呱-陈训"/>
        <s v="刘永军"/>
        <s v="鼎呱呱-常规"/>
        <s v="朱由留-义乌阿索米"/>
        <s v="鼎呱呱文具-KARACA"/>
        <s v="鼎呱呱文具-优哈优公司_x000a_MB客户"/>
        <s v="鼎呱呱文具-念悠公司ML客户"/>
        <s v="鼎呱呱文具-米隆"/>
        <s v="鼎呱呱文具-瓦旦"/>
        <s v="鼎呱呱-OKAY黄鸣华"/>
        <s v="安瑞汉特贸易有限公司"/>
        <s v="路达"/>
        <s v="鼎呱呱文具-森森乐林"/>
        <s v="鼎呱呱-森森乐林"/>
        <s v="鼎呱呱-岱力"/>
        <s v="鼎呱呱文具-浩苍"/>
        <s v="鼎呱呱文具-茉莉"/>
        <s v="鼎呱呱-维简"/>
        <s v="鼎呱呱-埃睿纳"/>
        <s v="金烁"/>
        <s v="鼎呱呱文具-翱翔（改为夸奇贸易）"/>
        <s v="鼎呱呱-光加"/>
        <s v="概伟"/>
        <s v="鼎呱呱-华宇"/>
        <s v="鼎呱呱-浩伞"/>
        <s v="鼎呱呱-印度"/>
        <s v="兴邦"/>
        <s v="鼎呱呱-千吉"/>
        <s v="鼎呱呱-易则仓库"/>
        <s v="鼎呱呱-南非-叶丽丽"/>
        <s v="鼎呱呱-艾美娜"/>
        <s v="鼎呱呱-巴里亚"/>
        <s v="鼎呱呱-玖玖贸易"/>
        <s v="鼎呱呱-航丰"/>
        <s v="鼎呱呱-宏宴"/>
        <s v="鼎呱呱-尚儒"/>
        <s v="鼎呱呱-东湖"/>
        <s v="鼎呱呱-呈扬"/>
        <s v="鼎呱呱文具-亚给MOH"/>
        <s v="鼎呱呱文具-天几国际"/>
        <s v="鼎呱呱-铭展"/>
        <s v="鼎呱呱-国贸洋行"/>
        <s v="鼎呱呱-昇飞"/>
        <s v="鼎呱呱-贺小姐-业华"/>
        <s v="鼎呱呱-巴基斯坦客户-BOSS"/>
        <s v="上海毅烁"/>
        <s v="鼎呱呱文具-谦融"/>
        <s v="鼎呱呱文具-宁波风暴"/>
        <s v="鼎呱呱文具永胜店面"/>
        <s v="鼎呱呱-标德芙"/>
        <s v="鼎呱呱-鼎达"/>
        <s v="鼎呱呱-合信"/>
        <s v="鼎呱呱-俄罗斯盛丰"/>
        <s v="文件夹对公"/>
        <s v="鼎呱呱-阿速"/>
        <s v="鼎呱呱-佑礼科"/>
        <s v="鼎呱呱-康庭"/>
        <s v="鼎呱呱-世通"/>
        <s v="鼎呱呱-世通6T14"/>
        <s v="鼎呱呱-旭旺"/>
        <s v="鼎呱呱-XPZ"/>
        <s v="电商-文件框-徐宁Ivan 💥"/>
        <s v="董业颖"/>
        <s v="鼎呱呱文具-雅桐"/>
        <s v="鼎呱呱-江北唯资"/>
        <s v="鼎呱呱-OKAY黄鸣华 小徐"/>
        <s v="鼎呱呱-朵购  晗越进出口"/>
        <s v="鼎呱呱-风盈"/>
        <s v="电商-陈泽榕"/>
        <s v="鼎呱呱-墨西哥王天宇"/>
        <s v="鼎呱呱-瑞源"/>
        <s v="鼎呱呱-奥斯卡"/>
        <s v="鼎呱呱-惠润"/>
        <s v="鼎呱呱-启航 陈静"/>
        <s v="鼎呱呱-呈扬WK 陈静"/>
        <s v="优智达"/>
        <s v="鼎呱呱-亿拓"/>
        <s v="鼎呱呱-季苏丽"/>
        <s v="鼎呱呱-特蕾莎 小祝"/>
        <s v="合丰"/>
        <s v="小南 17357952936"/>
        <s v="鼎呱呱-（呈扬贸易）WK"/>
        <s v="鼎呱呱-安迪公司AJ客户"/>
        <s v="鼎呱呱-阅洛"/>
        <s v="鼎呱呱-飒宛 陈静"/>
        <s v="鼎呱呱-鼎达 小徐"/>
        <s v="鸣春贸易"/>
        <s v="开通"/>
        <s v="义乌海歌"/>
        <s v="鼎呱呱-易则仓库 小徐"/>
        <s v="鼎呱呱-呈扬 HHY"/>
        <s v="鼎呱呱-雷川"/>
        <s v="鼎呱呱-爱伊家 小祝"/>
        <s v="鼎呱呱-萨汝"/>
        <s v="鼎呱呱-埃及VK 陈静"/>
        <s v="鼎呱呱-沃柔 小徐"/>
        <s v="鼎呱呱-新亚 小祝"/>
        <s v="鼎呱呱-蔻可PO 小徐"/>
        <s v="鼎呱呱-基恺PO 小徐"/>
        <s v="义乌泰拓贸易"/>
        <s v="鼎呱呱-达誉 小虞"/>
        <s v="鼎呱呱-华宇 小祝"/>
        <s v="鼎呱呱-黄鸣华PO 小徐"/>
        <s v="鼎呱呱-优腾 小祝"/>
        <s v="鼎呱呱-浩伞SP2602 陈静"/>
        <s v="latin"/>
        <s v="吕雪玲"/>
        <s v="鼎呱呱-兄弟贸易 陈静"/>
        <s v="鼎呱呱-赛联 小祝"/>
        <s v="鼎呱呱-赛尔优"/>
        <s v="鼎呱呱-泛洋"/>
        <s v="鼎呱呱-骆加 光加 小祝"/>
        <s v="鼎呱呱-理想"/>
        <s v="鼎呱呱-黄鸣华OKAY 小徐"/>
        <s v="捷亚"/>
        <s v="鼎呱呱-宜惠 小虞 FR2606"/>
        <s v="鼎呱呱-宜惠 小虞 HGZ"/>
        <s v="鼎呱呱-托尼5号 小徐"/>
        <s v="鼎呱呱-吴金城"/>
        <s v="娟子"/>
        <s v="鼎呱呱-匹赛贸易 小祝"/>
        <s v="鼎呱呱-商翼 陈静"/>
        <s v="鼎呱呱-宜惠 小虞"/>
        <s v="鼎呱呱-南非-叶丽丽 陈静"/>
        <s v="鼎呱呱-美国时代 小祝"/>
        <s v="鼎呱呱-彼善 小徐"/>
        <s v="鼎呱呱-巴基斯坦莫汉莫德 陈静"/>
        <s v="鼎呱呱-玖玖PO 小徐"/>
        <s v="鼎呱呱-玖玖贸易BF 小徐"/>
        <s v="鼎呱呱文具-泰拓"/>
        <s v="鼎呱呱-deeps公司 陈静"/>
        <s v="鼎呱呱-雷川 陈静"/>
        <s v="鼎呱呱-阿凡 陈静"/>
        <s v="鼎呱呱-智利环贸 陈静"/>
        <s v="鼎呱呱-优哈优MB 李欣"/>
        <s v="鼎呱呱-南美郑斌 陈静"/>
        <s v="鼎呱呱-华越 陈静"/>
        <s v="鼎呱呱-聚贤外贸 陈静"/>
        <s v="鼎呱呱-呈扬MM 陈静"/>
        <s v="鼎呱呱-芙罗 李欣"/>
        <s v="鼎呱呱-恩飒 陈静"/>
        <s v="鼎呱呱-兄弟贸易HT 陈静"/>
        <s v="鼎呱呱-圣地 陈静"/>
        <s v="鼎呱呱-江北美扬 小祝"/>
        <s v="鼎呱呱-翔钰063客户"/>
        <s v="鼎呱呱-爱允 李欣"/>
        <s v="赛雅歌"/>
        <s v="鼎呱呱-红花 陈静"/>
        <s v="鼎呱呱-朵哈贸易PA 陈静"/>
        <s v="鼎呱呱-宜惠 李欣"/>
        <s v="鼎呱呱-OKAY黄鸣华 李欣"/>
        <s v="鼎呱呱-印度SG 李欣"/>
        <m/>
      </sharedItems>
    </cacheField>
    <cacheField name="商品名称" numFmtId="0">
      <sharedItems containsBlank="1" count="22">
        <s v="2001 三层文件盘（尖角）"/>
        <s v="2002 二层文件盘（尖角）"/>
        <s v="9304-2 二联直角杂志盒"/>
        <s v="9304-3 三联直角杂志盒"/>
        <s v="9304-4 四联直角杂志盒"/>
        <s v="2001C 四层文件盘（圆弧）"/>
        <s v="2001C 四层文件盘（尖角）"/>
        <s v="9303-3 三联内圆弧杂志盒（二根杆）"/>
        <s v="2005 五层文件盘（圆弧）"/>
        <s v="9303-2 二联内圆弧杂志盒（二根杆）"/>
        <s v="2006 三层横款文件盘（圆弧）"/>
        <s v="2007 四层横款文件盘（圆弧）"/>
        <s v="2008 五层横款文件盘（圆弧）"/>
        <s v="9303-4 四联内圆弧杂志盒（二根杆）"/>
        <s v="3003-5折叠杂志架"/>
        <s v="2005 五层文件盘（尖角）"/>
        <s v="9304-1 单联直角杂志盒"/>
        <s v="2009 折叠杂志架"/>
        <s v="9303-2 二联内圆弧杂志盒（三根杆）"/>
        <s v="9303-3 三联内圆弧杂志盒(三根杆）"/>
        <s v="9303-4 四联内圆弧杂志盒(三根杆）"/>
        <m/>
      </sharedItems>
    </cacheField>
    <cacheField name="箱规" numFmtId="0">
      <sharedItems containsString="0" containsBlank="1" containsNumber="1" containsInteger="1" minValue="0" maxValue="24" count="5">
        <n v="12"/>
        <n v="8"/>
        <m/>
        <n v="10"/>
        <n v="24"/>
      </sharedItems>
    </cacheField>
    <cacheField name="箱数" numFmtId="0">
      <sharedItems containsString="0" containsBlank="1" containsNumber="1" containsInteger="1" minValue="0" maxValue="370" count="62">
        <n v="200"/>
        <n v="20"/>
        <n v="2"/>
        <n v="5"/>
        <n v="40"/>
        <n v="175"/>
        <n v="100"/>
        <n v="30"/>
        <n v="80"/>
        <n v="10"/>
        <n v="60"/>
        <n v="47"/>
        <n v="15"/>
        <n v="150"/>
        <n v="50"/>
        <n v="33"/>
        <n v="66"/>
        <n v="14"/>
        <n v="1"/>
        <n v="49"/>
        <n v="25"/>
        <n v="7"/>
        <n v="90"/>
        <n v="43"/>
        <n v="3"/>
        <n v="4"/>
        <n v="8"/>
        <n v="84"/>
        <n v="230"/>
        <m/>
        <n v="9"/>
        <n v="13"/>
        <n v="6"/>
        <n v="75"/>
        <n v="16"/>
        <n v="12"/>
        <n v="70"/>
        <n v="37"/>
        <n v="21"/>
        <n v="120"/>
        <n v="29"/>
        <n v="225"/>
        <n v="145"/>
        <n v="188"/>
        <n v="180"/>
        <n v="62"/>
        <n v="115"/>
        <n v="45"/>
        <n v="31"/>
        <n v="18"/>
        <n v="300"/>
        <n v="35"/>
        <n v="68"/>
        <n v="42"/>
        <n v="28"/>
        <n v="0"/>
        <n v="17"/>
        <n v="32"/>
        <n v="350"/>
        <n v="11"/>
        <n v="370"/>
        <n v="334"/>
      </sharedItems>
    </cacheField>
    <cacheField name="数    量" numFmtId="0">
      <sharedItems containsString="0" containsBlank="1" containsNumber="1" containsInteger="1" minValue="0" maxValue="4440" count="71">
        <n v="2400"/>
        <n v="240"/>
        <n v="24"/>
        <n v="60"/>
        <n v="480"/>
        <n v="2100"/>
        <n v="1200"/>
        <n v="360"/>
        <n v="960"/>
        <n v="120"/>
        <n v="564"/>
        <n v="180"/>
        <n v="1800"/>
        <n v="600"/>
        <n v="396"/>
        <n v="792"/>
        <n v="168"/>
        <n v="12"/>
        <n v="588"/>
        <n v="300"/>
        <n v="84"/>
        <n v="1080"/>
        <n v="516"/>
        <n v="36"/>
        <n v="48"/>
        <n v="720"/>
        <n v="96"/>
        <n v="1000"/>
        <n v="2760"/>
        <n v="30"/>
        <n v="108"/>
        <n v="156"/>
        <n v="72"/>
        <n v="900"/>
        <n v="192"/>
        <n v="8"/>
        <n v="144"/>
        <n v="840"/>
        <n v="444"/>
        <n v="252"/>
        <n v="1440"/>
        <n v="348"/>
        <n v="100"/>
        <n v="2700"/>
        <n v="1740"/>
        <n v="2256"/>
        <n v="2160"/>
        <n v="20"/>
        <n v="744"/>
        <n v="45"/>
        <n v="1380"/>
        <n v="540"/>
        <n v="372"/>
        <n v="50"/>
        <n v="216"/>
        <n v="93"/>
        <n v="3600"/>
        <n v="420"/>
        <n v="816"/>
        <n v="504"/>
        <n v="336"/>
        <n v="49"/>
        <n v="115"/>
        <n v="204"/>
        <n v="256"/>
        <n v="4200"/>
        <n v="132"/>
        <n v="4440"/>
        <n v="4008"/>
        <n v="1008"/>
        <m/>
      </sharedItems>
    </cacheField>
    <cacheField name="单    位" numFmtId="0">
      <sharedItems containsBlank="1" count="2">
        <s v="套"/>
        <m/>
      </sharedItems>
    </cacheField>
    <cacheField name="销售单价" numFmtId="0">
      <sharedItems containsString="0" containsBlank="1" containsNumber="1" minValue="0" maxValue="35" count="60">
        <n v="12"/>
        <n v="10"/>
        <n v="12.8"/>
        <n v="15"/>
        <n v="18"/>
        <n v="13.5"/>
        <n v="16.74"/>
        <n v="16.524"/>
        <n v="20.196"/>
        <n v="18.315"/>
        <n v="17.82"/>
        <n v="15.8"/>
        <n v="13"/>
        <n v="16.5"/>
        <n v="20.5"/>
        <n v="20"/>
        <n v="17.5"/>
        <n v="10.8"/>
        <n v="12.5"/>
        <n v="16"/>
        <n v="12.2"/>
        <n v="15.3"/>
        <n v="12.6"/>
        <m/>
        <n v="11.5"/>
        <n v="14"/>
        <n v="15.6"/>
        <n v="19"/>
        <n v="35"/>
        <n v="15.5"/>
        <n v="15.2"/>
        <n v="11.3"/>
        <n v="11"/>
        <n v="18.3"/>
        <n v="17"/>
        <n v="11.8"/>
        <n v="14.8"/>
        <n v="9.8"/>
        <n v="17.3"/>
        <n v="10.9"/>
        <n v="20.8"/>
        <n v="12.7"/>
        <n v="10.5"/>
        <n v="12.3"/>
        <n v="7.8"/>
        <n v="13.2"/>
        <n v="14.5"/>
        <n v="16.2"/>
        <n v="9"/>
        <n v="14.6"/>
        <n v="9.6"/>
        <n v="17.1"/>
        <n v="11.6"/>
        <n v="11.34"/>
        <n v="17.064"/>
        <n v="19.98"/>
        <n v="14.04"/>
        <n v="17.28"/>
        <n v="20.844"/>
        <n v="10.2"/>
      </sharedItems>
    </cacheField>
    <cacheField name="金    额" numFmtId="0">
      <sharedItems containsString="0" containsBlank="1" containsNumber="1" minValue="0" maxValue="68392.512" count="280">
        <n v="28800"/>
        <n v="2400"/>
        <n v="2880"/>
        <n v="3072"/>
        <n v="3600"/>
        <n v="432"/>
        <n v="1080"/>
        <n v="8640"/>
        <n v="25200"/>
        <n v="14400"/>
        <n v="4320"/>
        <n v="12960"/>
        <n v="16070.4"/>
        <n v="15863.04"/>
        <n v="19388.16"/>
        <n v="2197.8"/>
        <n v="8553.6"/>
        <n v="7614"/>
        <n v="8911.2"/>
        <n v="1200"/>
        <n v="1440"/>
        <n v="1800"/>
        <n v="2304"/>
        <n v="2700"/>
        <n v="3240"/>
        <n v="1560"/>
        <n v="1980"/>
        <n v="990"/>
        <n v="1230"/>
        <n v="21600"/>
        <n v="12000"/>
        <n v="18000"/>
        <n v="7200"/>
        <n v="9600"/>
        <n v="3120"/>
        <n v="3960"/>
        <n v="9504"/>
        <n v="2016"/>
        <n v="2520"/>
        <n v="2150.4"/>
        <n v="240"/>
        <n v="288"/>
        <n v="180"/>
        <n v="210"/>
        <n v="259.2"/>
        <n v="300"/>
        <n v="384"/>
        <n v="216"/>
        <n v="7680"/>
        <n v="8820"/>
        <n v="10800"/>
        <n v="2100"/>
        <n v="4860"/>
        <n v="1050"/>
        <n v="1344"/>
        <n v="9480"/>
        <n v="7740"/>
        <n v="460.8"/>
        <n v="540"/>
        <n v="27000"/>
        <n v="5760"/>
        <n v="2160"/>
        <n v="480"/>
        <n v="4800"/>
        <n v="2250"/>
        <n v="10500"/>
        <n v="960"/>
        <n v="3840"/>
        <n v="4500"/>
        <n v="5400"/>
        <n v="12200"/>
        <n v="15300"/>
        <n v="3000"/>
        <n v="6480"/>
        <n v="6000"/>
        <n v="33120"/>
        <n v="15120"/>
        <n v="429"/>
        <n v="576"/>
        <n v="720"/>
        <n v="1536"/>
        <n v="1944"/>
        <n v="810"/>
        <m/>
        <n v="1896"/>
        <n v="4140"/>
        <n v="5040"/>
        <n v="6300"/>
        <n v="2340"/>
        <n v="9000"/>
        <n v="4680"/>
        <n v="11400"/>
        <n v="14640"/>
        <n v="1152"/>
        <n v="13500"/>
        <n v="21000"/>
        <n v="4200"/>
        <n v="600"/>
        <n v="900"/>
        <n v="3456"/>
        <n v="144"/>
        <n v="9300"/>
        <n v="18240"/>
        <n v="1627.2"/>
        <n v="1500"/>
        <n v="1296"/>
        <n v="1920"/>
        <n v="1728"/>
        <n v="864"/>
        <n v="768"/>
        <n v="10080"/>
        <n v="780"/>
        <n v="4920"/>
        <n v="2970"/>
        <n v="5328"/>
        <n v="5250"/>
        <n v="1680"/>
        <n v="648"/>
        <n v="264"/>
        <n v="312"/>
        <n v="36000"/>
        <n v="549"/>
        <n v="7500"/>
        <n v="4410"/>
        <n v="4395.6"/>
        <n v="17280"/>
        <n v="4176"/>
        <n v="2592"/>
        <n v="11520"/>
        <n v="360"/>
        <n v="1580"/>
        <n v="450"/>
        <n v="32400"/>
        <n v="20880"/>
        <n v="37765.44"/>
        <n v="29743.2"/>
        <n v="43623.36"/>
        <n v="486"/>
        <n v="408"/>
        <n v="5664"/>
        <n v="3552"/>
        <n v="7080"/>
        <n v="283.2"/>
        <n v="355.2"/>
        <n v="420"/>
        <n v="235.2"/>
        <n v="141.6"/>
        <n v="177.6"/>
        <n v="1038"/>
        <n v="888"/>
        <n v="750"/>
        <n v="700"/>
        <n v="468"/>
        <n v="588"/>
        <n v="708"/>
        <n v="1176"/>
        <n v="2832"/>
        <n v="1065.6"/>
        <n v="1700.4"/>
        <n v="1965.6"/>
        <n v="4248"/>
        <n v="21240"/>
        <n v="8880"/>
        <n v="1416"/>
        <n v="2076"/>
        <n v="1776"/>
        <n v="7291.2"/>
        <n v="5688"/>
        <n v="991.2"/>
        <n v="624"/>
        <n v="711"/>
        <n v="396"/>
        <n v="499.2"/>
        <n v="16284"/>
        <n v="192"/>
        <n v="14160"/>
        <n v="17760"/>
        <n v="4704"/>
        <n v="6372"/>
        <n v="6900"/>
        <n v="8400"/>
        <n v="5880"/>
        <n v="6510"/>
        <n v="3148"/>
        <n v="790"/>
        <n v="3360"/>
        <n v="252"/>
        <n v="590.4"/>
        <n v="568.8"/>
        <n v="2548.8"/>
        <n v="1404"/>
        <n v="2952"/>
        <n v="475.2"/>
        <n v="1701.9"/>
        <n v="3750"/>
        <n v="1872"/>
        <n v="4440"/>
        <n v="5220"/>
        <n v="2124"/>
        <n v="42720"/>
        <n v="2664"/>
        <n v="22140"/>
        <n v="2841.6"/>
        <n v="3114"/>
        <n v="2352"/>
        <n v="3540"/>
        <n v="4536"/>
        <n v="10281.6"/>
        <n v="3110.4"/>
        <n v="1620"/>
        <n v="5947.2"/>
        <n v="15000"/>
        <n v="24780"/>
        <n v="20580"/>
        <n v="10692"/>
        <n v="876"/>
        <n v="280.8"/>
        <n v="561.6"/>
        <n v="4104"/>
        <n v="1752"/>
        <n v="13920"/>
        <n v="2052"/>
        <n v="556.8"/>
        <n v="2070"/>
        <n v="8760"/>
        <n v="2784"/>
        <n v="740"/>
        <n v="696"/>
        <n v="2628"/>
        <n v="1392"/>
        <n v="921.6"/>
        <n v="345.6"/>
        <n v="350.4"/>
        <n v="6960"/>
        <n v="2940"/>
        <n v="602.7"/>
        <n v="7272"/>
        <n v="4380"/>
        <n v="5130"/>
        <n v="9744"/>
        <n v="7008"/>
        <n v="2104.5"/>
        <n v="11136"/>
        <n v="21024"/>
        <n v="3480"/>
        <n v="27840"/>
        <n v="17520"/>
        <n v="2978.4"/>
        <n v="18960"/>
        <n v="915"/>
        <n v="1260"/>
        <n v="0"/>
        <n v="2088"/>
        <n v="2760"/>
        <n v="374.4"/>
        <n v="691.2"/>
        <n v="1113.6"/>
        <n v="878.4"/>
        <n v="61320"/>
        <n v="2460"/>
        <n v="439.2"/>
        <n v="417.6"/>
        <n v="1531.2"/>
        <n v="525.6"/>
        <n v="6156"/>
        <n v="5443.2"/>
        <n v="59940"/>
        <n v="68392.512"/>
        <n v="20139.84"/>
        <n v="1684.8"/>
        <n v="2073.6"/>
        <n v="5002.56"/>
        <n v="14016"/>
        <n v="13140"/>
        <n v="16800"/>
        <n v="3504"/>
        <n v="4276.8"/>
        <n v="3060"/>
        <n v="7320"/>
        <n v="9120"/>
      </sharedItems>
    </cacheField>
    <cacheField name="运费" numFmtId="0">
      <sharedItems containsString="0" containsBlank="1" containsNumber="1" containsInteger="1" minValue="0" maxValue="100" count="6">
        <m/>
        <n v="40"/>
        <n v="100"/>
        <n v="59"/>
        <n v="90"/>
        <n v="10"/>
      </sharedItems>
    </cacheField>
    <cacheField name="是否开票" numFmtId="0">
      <sharedItems containsBlank="1" count="3">
        <s v="否"/>
        <s v="是"/>
        <m/>
      </sharedItems>
    </cacheField>
    <cacheField name="完结" numFmtId="0">
      <sharedItems containsBlank="1" count="2">
        <s v="是"/>
        <m/>
      </sharedItems>
    </cacheField>
    <cacheField name="备注" numFmtId="0">
      <sharedItems containsBlank="1" count="19">
        <m/>
        <s v="05-13结清"/>
        <s v="转给覃"/>
        <s v="未发货"/>
        <s v="后续已补"/>
        <s v="粉色"/>
        <s v="银色"/>
        <s v="07-18付清"/>
        <s v="08-10付清"/>
        <s v="已付5w，尾款微信转账，待后续退回并对公转"/>
        <s v="发货单上写了，但是没有发货记录，且客户未下单"/>
        <s v="07-31 付清"/>
        <s v="补发"/>
        <s v="卸货费：240"/>
        <s v="订金2000"/>
        <s v="产品质量问题退回32件待补发_x000a_07/13已返工补发"/>
        <s v="2400制版费"/>
        <s v="质量问题，返工补发"/>
        <s v="=DISPIMG(&quot;ID_D095EAFF026B48E19078F49E8C0131CD&quot;,1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10">
  <r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0"/>
    <x v="1"/>
    <x v="1"/>
    <x v="0"/>
    <x v="1"/>
    <x v="1"/>
    <x v="0"/>
    <x v="0"/>
    <x v="0"/>
    <x v="0"/>
  </r>
  <r>
    <x v="0"/>
    <x v="1"/>
    <x v="0"/>
    <x v="0"/>
    <x v="0"/>
    <x v="1"/>
    <x v="1"/>
    <x v="0"/>
    <x v="0"/>
    <x v="2"/>
    <x v="0"/>
    <x v="0"/>
    <x v="0"/>
    <x v="0"/>
  </r>
  <r>
    <x v="0"/>
    <x v="1"/>
    <x v="0"/>
    <x v="2"/>
    <x v="0"/>
    <x v="1"/>
    <x v="1"/>
    <x v="0"/>
    <x v="2"/>
    <x v="3"/>
    <x v="0"/>
    <x v="0"/>
    <x v="0"/>
    <x v="0"/>
  </r>
  <r>
    <x v="0"/>
    <x v="1"/>
    <x v="0"/>
    <x v="3"/>
    <x v="0"/>
    <x v="1"/>
    <x v="1"/>
    <x v="0"/>
    <x v="3"/>
    <x v="4"/>
    <x v="0"/>
    <x v="0"/>
    <x v="0"/>
    <x v="0"/>
  </r>
  <r>
    <x v="0"/>
    <x v="1"/>
    <x v="0"/>
    <x v="4"/>
    <x v="0"/>
    <x v="2"/>
    <x v="2"/>
    <x v="0"/>
    <x v="4"/>
    <x v="5"/>
    <x v="0"/>
    <x v="0"/>
    <x v="0"/>
    <x v="0"/>
  </r>
  <r>
    <x v="0"/>
    <x v="1"/>
    <x v="0"/>
    <x v="4"/>
    <x v="0"/>
    <x v="2"/>
    <x v="2"/>
    <x v="0"/>
    <x v="4"/>
    <x v="5"/>
    <x v="0"/>
    <x v="0"/>
    <x v="0"/>
    <x v="0"/>
  </r>
  <r>
    <x v="0"/>
    <x v="1"/>
    <x v="0"/>
    <x v="4"/>
    <x v="0"/>
    <x v="3"/>
    <x v="3"/>
    <x v="0"/>
    <x v="4"/>
    <x v="6"/>
    <x v="0"/>
    <x v="0"/>
    <x v="0"/>
    <x v="0"/>
  </r>
  <r>
    <x v="0"/>
    <x v="1"/>
    <x v="0"/>
    <x v="4"/>
    <x v="0"/>
    <x v="4"/>
    <x v="4"/>
    <x v="0"/>
    <x v="4"/>
    <x v="7"/>
    <x v="0"/>
    <x v="0"/>
    <x v="0"/>
    <x v="0"/>
  </r>
  <r>
    <x v="0"/>
    <x v="1"/>
    <x v="0"/>
    <x v="0"/>
    <x v="0"/>
    <x v="5"/>
    <x v="5"/>
    <x v="0"/>
    <x v="0"/>
    <x v="8"/>
    <x v="0"/>
    <x v="0"/>
    <x v="0"/>
    <x v="0"/>
  </r>
  <r>
    <x v="0"/>
    <x v="1"/>
    <x v="0"/>
    <x v="0"/>
    <x v="0"/>
    <x v="6"/>
    <x v="6"/>
    <x v="0"/>
    <x v="0"/>
    <x v="9"/>
    <x v="0"/>
    <x v="0"/>
    <x v="0"/>
    <x v="0"/>
  </r>
  <r>
    <x v="0"/>
    <x v="1"/>
    <x v="0"/>
    <x v="0"/>
    <x v="0"/>
    <x v="7"/>
    <x v="7"/>
    <x v="0"/>
    <x v="0"/>
    <x v="10"/>
    <x v="0"/>
    <x v="0"/>
    <x v="0"/>
    <x v="0"/>
  </r>
  <r>
    <x v="0"/>
    <x v="1"/>
    <x v="0"/>
    <x v="4"/>
    <x v="0"/>
    <x v="3"/>
    <x v="3"/>
    <x v="0"/>
    <x v="4"/>
    <x v="6"/>
    <x v="0"/>
    <x v="0"/>
    <x v="0"/>
    <x v="0"/>
  </r>
  <r>
    <x v="0"/>
    <x v="1"/>
    <x v="1"/>
    <x v="0"/>
    <x v="0"/>
    <x v="8"/>
    <x v="8"/>
    <x v="0"/>
    <x v="5"/>
    <x v="11"/>
    <x v="0"/>
    <x v="1"/>
    <x v="0"/>
    <x v="0"/>
  </r>
  <r>
    <x v="0"/>
    <x v="1"/>
    <x v="1"/>
    <x v="5"/>
    <x v="0"/>
    <x v="8"/>
    <x v="8"/>
    <x v="0"/>
    <x v="6"/>
    <x v="12"/>
    <x v="0"/>
    <x v="1"/>
    <x v="0"/>
    <x v="0"/>
  </r>
  <r>
    <x v="0"/>
    <x v="1"/>
    <x v="1"/>
    <x v="3"/>
    <x v="0"/>
    <x v="8"/>
    <x v="8"/>
    <x v="0"/>
    <x v="7"/>
    <x v="13"/>
    <x v="0"/>
    <x v="1"/>
    <x v="0"/>
    <x v="0"/>
  </r>
  <r>
    <x v="0"/>
    <x v="1"/>
    <x v="1"/>
    <x v="4"/>
    <x v="0"/>
    <x v="8"/>
    <x v="8"/>
    <x v="0"/>
    <x v="8"/>
    <x v="14"/>
    <x v="0"/>
    <x v="1"/>
    <x v="0"/>
    <x v="0"/>
  </r>
  <r>
    <x v="0"/>
    <x v="1"/>
    <x v="2"/>
    <x v="5"/>
    <x v="0"/>
    <x v="9"/>
    <x v="9"/>
    <x v="0"/>
    <x v="9"/>
    <x v="15"/>
    <x v="0"/>
    <x v="1"/>
    <x v="0"/>
    <x v="0"/>
  </r>
  <r>
    <x v="0"/>
    <x v="1"/>
    <x v="3"/>
    <x v="6"/>
    <x v="1"/>
    <x v="10"/>
    <x v="4"/>
    <x v="0"/>
    <x v="10"/>
    <x v="16"/>
    <x v="0"/>
    <x v="1"/>
    <x v="0"/>
    <x v="0"/>
  </r>
  <r>
    <x v="0"/>
    <x v="1"/>
    <x v="4"/>
    <x v="1"/>
    <x v="0"/>
    <x v="11"/>
    <x v="10"/>
    <x v="0"/>
    <x v="5"/>
    <x v="17"/>
    <x v="0"/>
    <x v="1"/>
    <x v="0"/>
    <x v="0"/>
  </r>
  <r>
    <x v="0"/>
    <x v="1"/>
    <x v="4"/>
    <x v="0"/>
    <x v="0"/>
    <x v="11"/>
    <x v="10"/>
    <x v="0"/>
    <x v="11"/>
    <x v="18"/>
    <x v="0"/>
    <x v="1"/>
    <x v="0"/>
    <x v="0"/>
  </r>
  <r>
    <x v="0"/>
    <x v="2"/>
    <x v="0"/>
    <x v="1"/>
    <x v="0"/>
    <x v="9"/>
    <x v="9"/>
    <x v="0"/>
    <x v="1"/>
    <x v="19"/>
    <x v="0"/>
    <x v="0"/>
    <x v="0"/>
    <x v="0"/>
  </r>
  <r>
    <x v="0"/>
    <x v="2"/>
    <x v="0"/>
    <x v="0"/>
    <x v="0"/>
    <x v="9"/>
    <x v="9"/>
    <x v="0"/>
    <x v="0"/>
    <x v="20"/>
    <x v="0"/>
    <x v="0"/>
    <x v="0"/>
    <x v="0"/>
  </r>
  <r>
    <x v="0"/>
    <x v="2"/>
    <x v="0"/>
    <x v="5"/>
    <x v="0"/>
    <x v="9"/>
    <x v="9"/>
    <x v="0"/>
    <x v="3"/>
    <x v="21"/>
    <x v="0"/>
    <x v="0"/>
    <x v="0"/>
    <x v="0"/>
  </r>
  <r>
    <x v="0"/>
    <x v="2"/>
    <x v="0"/>
    <x v="2"/>
    <x v="0"/>
    <x v="12"/>
    <x v="11"/>
    <x v="0"/>
    <x v="2"/>
    <x v="22"/>
    <x v="0"/>
    <x v="0"/>
    <x v="0"/>
    <x v="0"/>
  </r>
  <r>
    <x v="0"/>
    <x v="2"/>
    <x v="0"/>
    <x v="3"/>
    <x v="0"/>
    <x v="12"/>
    <x v="11"/>
    <x v="0"/>
    <x v="3"/>
    <x v="23"/>
    <x v="0"/>
    <x v="0"/>
    <x v="0"/>
    <x v="0"/>
  </r>
  <r>
    <x v="0"/>
    <x v="2"/>
    <x v="0"/>
    <x v="4"/>
    <x v="0"/>
    <x v="12"/>
    <x v="11"/>
    <x v="0"/>
    <x v="4"/>
    <x v="24"/>
    <x v="0"/>
    <x v="0"/>
    <x v="0"/>
    <x v="0"/>
  </r>
  <r>
    <x v="0"/>
    <x v="2"/>
    <x v="0"/>
    <x v="1"/>
    <x v="0"/>
    <x v="9"/>
    <x v="9"/>
    <x v="0"/>
    <x v="1"/>
    <x v="19"/>
    <x v="0"/>
    <x v="0"/>
    <x v="0"/>
    <x v="0"/>
  </r>
  <r>
    <x v="0"/>
    <x v="3"/>
    <x v="5"/>
    <x v="0"/>
    <x v="0"/>
    <x v="9"/>
    <x v="9"/>
    <x v="0"/>
    <x v="12"/>
    <x v="25"/>
    <x v="0"/>
    <x v="0"/>
    <x v="0"/>
    <x v="0"/>
  </r>
  <r>
    <x v="0"/>
    <x v="3"/>
    <x v="5"/>
    <x v="5"/>
    <x v="0"/>
    <x v="9"/>
    <x v="9"/>
    <x v="0"/>
    <x v="13"/>
    <x v="26"/>
    <x v="0"/>
    <x v="0"/>
    <x v="0"/>
    <x v="0"/>
  </r>
  <r>
    <x v="0"/>
    <x v="3"/>
    <x v="5"/>
    <x v="7"/>
    <x v="0"/>
    <x v="3"/>
    <x v="3"/>
    <x v="0"/>
    <x v="13"/>
    <x v="27"/>
    <x v="0"/>
    <x v="0"/>
    <x v="0"/>
    <x v="0"/>
  </r>
  <r>
    <x v="0"/>
    <x v="3"/>
    <x v="5"/>
    <x v="7"/>
    <x v="0"/>
    <x v="3"/>
    <x v="3"/>
    <x v="0"/>
    <x v="14"/>
    <x v="28"/>
    <x v="0"/>
    <x v="0"/>
    <x v="0"/>
    <x v="0"/>
  </r>
  <r>
    <x v="0"/>
    <x v="4"/>
    <x v="0"/>
    <x v="0"/>
    <x v="0"/>
    <x v="13"/>
    <x v="12"/>
    <x v="0"/>
    <x v="0"/>
    <x v="29"/>
    <x v="0"/>
    <x v="0"/>
    <x v="0"/>
    <x v="0"/>
  </r>
  <r>
    <x v="0"/>
    <x v="4"/>
    <x v="0"/>
    <x v="1"/>
    <x v="0"/>
    <x v="6"/>
    <x v="6"/>
    <x v="0"/>
    <x v="1"/>
    <x v="30"/>
    <x v="0"/>
    <x v="0"/>
    <x v="0"/>
    <x v="0"/>
  </r>
  <r>
    <x v="0"/>
    <x v="5"/>
    <x v="0"/>
    <x v="5"/>
    <x v="0"/>
    <x v="6"/>
    <x v="6"/>
    <x v="0"/>
    <x v="3"/>
    <x v="31"/>
    <x v="0"/>
    <x v="0"/>
    <x v="0"/>
    <x v="0"/>
  </r>
  <r>
    <x v="0"/>
    <x v="5"/>
    <x v="0"/>
    <x v="0"/>
    <x v="0"/>
    <x v="6"/>
    <x v="6"/>
    <x v="0"/>
    <x v="0"/>
    <x v="9"/>
    <x v="0"/>
    <x v="0"/>
    <x v="0"/>
    <x v="0"/>
  </r>
  <r>
    <x v="0"/>
    <x v="5"/>
    <x v="0"/>
    <x v="0"/>
    <x v="0"/>
    <x v="14"/>
    <x v="13"/>
    <x v="0"/>
    <x v="0"/>
    <x v="32"/>
    <x v="0"/>
    <x v="0"/>
    <x v="0"/>
    <x v="0"/>
  </r>
  <r>
    <x v="0"/>
    <x v="6"/>
    <x v="6"/>
    <x v="8"/>
    <x v="0"/>
    <x v="4"/>
    <x v="4"/>
    <x v="0"/>
    <x v="15"/>
    <x v="33"/>
    <x v="1"/>
    <x v="0"/>
    <x v="0"/>
    <x v="0"/>
  </r>
  <r>
    <x v="0"/>
    <x v="6"/>
    <x v="5"/>
    <x v="0"/>
    <x v="0"/>
    <x v="1"/>
    <x v="1"/>
    <x v="0"/>
    <x v="12"/>
    <x v="34"/>
    <x v="0"/>
    <x v="0"/>
    <x v="0"/>
    <x v="0"/>
  </r>
  <r>
    <x v="0"/>
    <x v="6"/>
    <x v="5"/>
    <x v="5"/>
    <x v="0"/>
    <x v="9"/>
    <x v="9"/>
    <x v="0"/>
    <x v="13"/>
    <x v="26"/>
    <x v="0"/>
    <x v="0"/>
    <x v="0"/>
    <x v="0"/>
  </r>
  <r>
    <x v="0"/>
    <x v="7"/>
    <x v="0"/>
    <x v="1"/>
    <x v="0"/>
    <x v="15"/>
    <x v="14"/>
    <x v="0"/>
    <x v="1"/>
    <x v="35"/>
    <x v="0"/>
    <x v="0"/>
    <x v="0"/>
    <x v="0"/>
  </r>
  <r>
    <x v="0"/>
    <x v="7"/>
    <x v="0"/>
    <x v="0"/>
    <x v="0"/>
    <x v="14"/>
    <x v="13"/>
    <x v="0"/>
    <x v="0"/>
    <x v="32"/>
    <x v="0"/>
    <x v="0"/>
    <x v="0"/>
    <x v="0"/>
  </r>
  <r>
    <x v="0"/>
    <x v="7"/>
    <x v="0"/>
    <x v="0"/>
    <x v="0"/>
    <x v="16"/>
    <x v="15"/>
    <x v="0"/>
    <x v="0"/>
    <x v="36"/>
    <x v="0"/>
    <x v="0"/>
    <x v="0"/>
    <x v="0"/>
  </r>
  <r>
    <x v="0"/>
    <x v="7"/>
    <x v="0"/>
    <x v="0"/>
    <x v="0"/>
    <x v="17"/>
    <x v="16"/>
    <x v="0"/>
    <x v="0"/>
    <x v="37"/>
    <x v="0"/>
    <x v="0"/>
    <x v="0"/>
    <x v="0"/>
  </r>
  <r>
    <x v="0"/>
    <x v="7"/>
    <x v="0"/>
    <x v="5"/>
    <x v="0"/>
    <x v="17"/>
    <x v="16"/>
    <x v="0"/>
    <x v="3"/>
    <x v="38"/>
    <x v="0"/>
    <x v="0"/>
    <x v="0"/>
    <x v="0"/>
  </r>
  <r>
    <x v="0"/>
    <x v="7"/>
    <x v="0"/>
    <x v="9"/>
    <x v="0"/>
    <x v="17"/>
    <x v="16"/>
    <x v="0"/>
    <x v="2"/>
    <x v="39"/>
    <x v="0"/>
    <x v="0"/>
    <x v="0"/>
    <x v="0"/>
  </r>
  <r>
    <x v="0"/>
    <x v="7"/>
    <x v="0"/>
    <x v="7"/>
    <x v="0"/>
    <x v="17"/>
    <x v="16"/>
    <x v="0"/>
    <x v="3"/>
    <x v="38"/>
    <x v="0"/>
    <x v="0"/>
    <x v="0"/>
    <x v="0"/>
  </r>
  <r>
    <x v="0"/>
    <x v="7"/>
    <x v="0"/>
    <x v="1"/>
    <x v="0"/>
    <x v="2"/>
    <x v="2"/>
    <x v="0"/>
    <x v="1"/>
    <x v="40"/>
    <x v="0"/>
    <x v="0"/>
    <x v="0"/>
    <x v="0"/>
  </r>
  <r>
    <x v="0"/>
    <x v="7"/>
    <x v="0"/>
    <x v="0"/>
    <x v="0"/>
    <x v="2"/>
    <x v="2"/>
    <x v="0"/>
    <x v="0"/>
    <x v="41"/>
    <x v="0"/>
    <x v="0"/>
    <x v="0"/>
    <x v="0"/>
  </r>
  <r>
    <x v="0"/>
    <x v="7"/>
    <x v="0"/>
    <x v="5"/>
    <x v="0"/>
    <x v="18"/>
    <x v="17"/>
    <x v="0"/>
    <x v="3"/>
    <x v="42"/>
    <x v="0"/>
    <x v="0"/>
    <x v="0"/>
    <x v="0"/>
  </r>
  <r>
    <x v="0"/>
    <x v="7"/>
    <x v="0"/>
    <x v="8"/>
    <x v="0"/>
    <x v="18"/>
    <x v="17"/>
    <x v="0"/>
    <x v="16"/>
    <x v="43"/>
    <x v="0"/>
    <x v="0"/>
    <x v="0"/>
    <x v="0"/>
  </r>
  <r>
    <x v="0"/>
    <x v="7"/>
    <x v="7"/>
    <x v="1"/>
    <x v="0"/>
    <x v="2"/>
    <x v="2"/>
    <x v="0"/>
    <x v="17"/>
    <x v="44"/>
    <x v="0"/>
    <x v="0"/>
    <x v="0"/>
    <x v="0"/>
  </r>
  <r>
    <x v="0"/>
    <x v="7"/>
    <x v="7"/>
    <x v="0"/>
    <x v="0"/>
    <x v="2"/>
    <x v="2"/>
    <x v="0"/>
    <x v="18"/>
    <x v="45"/>
    <x v="0"/>
    <x v="0"/>
    <x v="0"/>
    <x v="0"/>
  </r>
  <r>
    <x v="0"/>
    <x v="7"/>
    <x v="7"/>
    <x v="5"/>
    <x v="0"/>
    <x v="2"/>
    <x v="2"/>
    <x v="0"/>
    <x v="19"/>
    <x v="46"/>
    <x v="0"/>
    <x v="0"/>
    <x v="0"/>
    <x v="0"/>
  </r>
  <r>
    <x v="0"/>
    <x v="7"/>
    <x v="7"/>
    <x v="8"/>
    <x v="0"/>
    <x v="18"/>
    <x v="17"/>
    <x v="0"/>
    <x v="4"/>
    <x v="47"/>
    <x v="0"/>
    <x v="0"/>
    <x v="0"/>
    <x v="0"/>
  </r>
  <r>
    <x v="0"/>
    <x v="7"/>
    <x v="7"/>
    <x v="1"/>
    <x v="0"/>
    <x v="2"/>
    <x v="2"/>
    <x v="0"/>
    <x v="17"/>
    <x v="44"/>
    <x v="0"/>
    <x v="0"/>
    <x v="0"/>
    <x v="0"/>
  </r>
  <r>
    <x v="0"/>
    <x v="7"/>
    <x v="7"/>
    <x v="0"/>
    <x v="0"/>
    <x v="2"/>
    <x v="2"/>
    <x v="0"/>
    <x v="18"/>
    <x v="45"/>
    <x v="0"/>
    <x v="0"/>
    <x v="0"/>
    <x v="0"/>
  </r>
  <r>
    <x v="0"/>
    <x v="7"/>
    <x v="7"/>
    <x v="5"/>
    <x v="0"/>
    <x v="2"/>
    <x v="2"/>
    <x v="0"/>
    <x v="19"/>
    <x v="46"/>
    <x v="0"/>
    <x v="0"/>
    <x v="0"/>
    <x v="0"/>
  </r>
  <r>
    <x v="0"/>
    <x v="8"/>
    <x v="0"/>
    <x v="0"/>
    <x v="0"/>
    <x v="6"/>
    <x v="6"/>
    <x v="0"/>
    <x v="0"/>
    <x v="9"/>
    <x v="0"/>
    <x v="0"/>
    <x v="0"/>
    <x v="0"/>
  </r>
  <r>
    <x v="0"/>
    <x v="9"/>
    <x v="0"/>
    <x v="2"/>
    <x v="0"/>
    <x v="14"/>
    <x v="13"/>
    <x v="0"/>
    <x v="2"/>
    <x v="48"/>
    <x v="0"/>
    <x v="0"/>
    <x v="0"/>
    <x v="0"/>
  </r>
  <r>
    <x v="0"/>
    <x v="9"/>
    <x v="0"/>
    <x v="3"/>
    <x v="0"/>
    <x v="19"/>
    <x v="18"/>
    <x v="0"/>
    <x v="3"/>
    <x v="49"/>
    <x v="0"/>
    <x v="0"/>
    <x v="0"/>
    <x v="0"/>
  </r>
  <r>
    <x v="0"/>
    <x v="9"/>
    <x v="0"/>
    <x v="4"/>
    <x v="0"/>
    <x v="14"/>
    <x v="13"/>
    <x v="0"/>
    <x v="4"/>
    <x v="50"/>
    <x v="0"/>
    <x v="0"/>
    <x v="0"/>
    <x v="0"/>
  </r>
  <r>
    <x v="0"/>
    <x v="9"/>
    <x v="0"/>
    <x v="0"/>
    <x v="0"/>
    <x v="20"/>
    <x v="19"/>
    <x v="0"/>
    <x v="0"/>
    <x v="4"/>
    <x v="0"/>
    <x v="0"/>
    <x v="0"/>
    <x v="0"/>
  </r>
  <r>
    <x v="0"/>
    <x v="9"/>
    <x v="0"/>
    <x v="8"/>
    <x v="0"/>
    <x v="9"/>
    <x v="9"/>
    <x v="0"/>
    <x v="16"/>
    <x v="51"/>
    <x v="0"/>
    <x v="0"/>
    <x v="0"/>
    <x v="0"/>
  </r>
  <r>
    <x v="0"/>
    <x v="9"/>
    <x v="0"/>
    <x v="1"/>
    <x v="0"/>
    <x v="7"/>
    <x v="7"/>
    <x v="0"/>
    <x v="1"/>
    <x v="4"/>
    <x v="0"/>
    <x v="0"/>
    <x v="0"/>
    <x v="0"/>
  </r>
  <r>
    <x v="0"/>
    <x v="9"/>
    <x v="0"/>
    <x v="0"/>
    <x v="0"/>
    <x v="7"/>
    <x v="7"/>
    <x v="0"/>
    <x v="0"/>
    <x v="10"/>
    <x v="0"/>
    <x v="0"/>
    <x v="0"/>
    <x v="0"/>
  </r>
  <r>
    <x v="0"/>
    <x v="9"/>
    <x v="0"/>
    <x v="10"/>
    <x v="0"/>
    <x v="7"/>
    <x v="7"/>
    <x v="0"/>
    <x v="5"/>
    <x v="52"/>
    <x v="0"/>
    <x v="0"/>
    <x v="0"/>
    <x v="0"/>
  </r>
  <r>
    <x v="0"/>
    <x v="10"/>
    <x v="7"/>
    <x v="0"/>
    <x v="0"/>
    <x v="21"/>
    <x v="20"/>
    <x v="0"/>
    <x v="18"/>
    <x v="53"/>
    <x v="0"/>
    <x v="0"/>
    <x v="0"/>
    <x v="0"/>
  </r>
  <r>
    <x v="0"/>
    <x v="10"/>
    <x v="7"/>
    <x v="5"/>
    <x v="0"/>
    <x v="21"/>
    <x v="20"/>
    <x v="0"/>
    <x v="19"/>
    <x v="54"/>
    <x v="0"/>
    <x v="0"/>
    <x v="0"/>
    <x v="0"/>
  </r>
  <r>
    <x v="0"/>
    <x v="10"/>
    <x v="8"/>
    <x v="5"/>
    <x v="0"/>
    <x v="14"/>
    <x v="13"/>
    <x v="0"/>
    <x v="11"/>
    <x v="55"/>
    <x v="0"/>
    <x v="0"/>
    <x v="0"/>
    <x v="0"/>
  </r>
  <r>
    <x v="0"/>
    <x v="11"/>
    <x v="0"/>
    <x v="0"/>
    <x v="0"/>
    <x v="20"/>
    <x v="19"/>
    <x v="0"/>
    <x v="0"/>
    <x v="4"/>
    <x v="0"/>
    <x v="0"/>
    <x v="0"/>
    <x v="0"/>
  </r>
  <r>
    <x v="0"/>
    <x v="11"/>
    <x v="0"/>
    <x v="1"/>
    <x v="0"/>
    <x v="22"/>
    <x v="21"/>
    <x v="0"/>
    <x v="1"/>
    <x v="50"/>
    <x v="0"/>
    <x v="0"/>
    <x v="0"/>
    <x v="0"/>
  </r>
  <r>
    <x v="0"/>
    <x v="11"/>
    <x v="0"/>
    <x v="5"/>
    <x v="0"/>
    <x v="23"/>
    <x v="22"/>
    <x v="0"/>
    <x v="3"/>
    <x v="56"/>
    <x v="0"/>
    <x v="0"/>
    <x v="0"/>
    <x v="0"/>
  </r>
  <r>
    <x v="0"/>
    <x v="11"/>
    <x v="0"/>
    <x v="2"/>
    <x v="0"/>
    <x v="24"/>
    <x v="23"/>
    <x v="0"/>
    <x v="2"/>
    <x v="57"/>
    <x v="0"/>
    <x v="0"/>
    <x v="0"/>
    <x v="0"/>
  </r>
  <r>
    <x v="0"/>
    <x v="11"/>
    <x v="0"/>
    <x v="3"/>
    <x v="0"/>
    <x v="24"/>
    <x v="23"/>
    <x v="0"/>
    <x v="3"/>
    <x v="58"/>
    <x v="0"/>
    <x v="0"/>
    <x v="0"/>
    <x v="0"/>
  </r>
  <r>
    <x v="0"/>
    <x v="12"/>
    <x v="0"/>
    <x v="0"/>
    <x v="0"/>
    <x v="13"/>
    <x v="12"/>
    <x v="0"/>
    <x v="0"/>
    <x v="29"/>
    <x v="0"/>
    <x v="0"/>
    <x v="0"/>
    <x v="0"/>
  </r>
  <r>
    <x v="0"/>
    <x v="12"/>
    <x v="0"/>
    <x v="5"/>
    <x v="0"/>
    <x v="13"/>
    <x v="12"/>
    <x v="0"/>
    <x v="3"/>
    <x v="59"/>
    <x v="0"/>
    <x v="0"/>
    <x v="0"/>
    <x v="0"/>
  </r>
  <r>
    <x v="0"/>
    <x v="12"/>
    <x v="0"/>
    <x v="0"/>
    <x v="0"/>
    <x v="4"/>
    <x v="4"/>
    <x v="0"/>
    <x v="0"/>
    <x v="60"/>
    <x v="0"/>
    <x v="0"/>
    <x v="0"/>
    <x v="0"/>
  </r>
  <r>
    <x v="0"/>
    <x v="12"/>
    <x v="0"/>
    <x v="3"/>
    <x v="0"/>
    <x v="1"/>
    <x v="1"/>
    <x v="0"/>
    <x v="3"/>
    <x v="4"/>
    <x v="0"/>
    <x v="0"/>
    <x v="0"/>
    <x v="0"/>
  </r>
  <r>
    <x v="0"/>
    <x v="12"/>
    <x v="0"/>
    <x v="4"/>
    <x v="0"/>
    <x v="9"/>
    <x v="9"/>
    <x v="0"/>
    <x v="4"/>
    <x v="61"/>
    <x v="0"/>
    <x v="0"/>
    <x v="0"/>
    <x v="0"/>
  </r>
  <r>
    <x v="0"/>
    <x v="12"/>
    <x v="0"/>
    <x v="0"/>
    <x v="0"/>
    <x v="14"/>
    <x v="13"/>
    <x v="0"/>
    <x v="0"/>
    <x v="32"/>
    <x v="0"/>
    <x v="0"/>
    <x v="0"/>
    <x v="0"/>
  </r>
  <r>
    <x v="0"/>
    <x v="12"/>
    <x v="0"/>
    <x v="0"/>
    <x v="0"/>
    <x v="9"/>
    <x v="9"/>
    <x v="0"/>
    <x v="0"/>
    <x v="20"/>
    <x v="0"/>
    <x v="0"/>
    <x v="0"/>
    <x v="0"/>
  </r>
  <r>
    <x v="0"/>
    <x v="12"/>
    <x v="0"/>
    <x v="1"/>
    <x v="0"/>
    <x v="25"/>
    <x v="24"/>
    <x v="0"/>
    <x v="1"/>
    <x v="62"/>
    <x v="0"/>
    <x v="0"/>
    <x v="0"/>
    <x v="0"/>
  </r>
  <r>
    <x v="0"/>
    <x v="13"/>
    <x v="7"/>
    <x v="4"/>
    <x v="0"/>
    <x v="1"/>
    <x v="1"/>
    <x v="0"/>
    <x v="15"/>
    <x v="63"/>
    <x v="0"/>
    <x v="0"/>
    <x v="0"/>
    <x v="0"/>
  </r>
  <r>
    <x v="0"/>
    <x v="13"/>
    <x v="7"/>
    <x v="0"/>
    <x v="0"/>
    <x v="12"/>
    <x v="11"/>
    <x v="0"/>
    <x v="18"/>
    <x v="64"/>
    <x v="0"/>
    <x v="0"/>
    <x v="0"/>
    <x v="0"/>
  </r>
  <r>
    <x v="0"/>
    <x v="14"/>
    <x v="0"/>
    <x v="8"/>
    <x v="0"/>
    <x v="14"/>
    <x v="13"/>
    <x v="0"/>
    <x v="16"/>
    <x v="65"/>
    <x v="0"/>
    <x v="0"/>
    <x v="0"/>
    <x v="0"/>
  </r>
  <r>
    <x v="0"/>
    <x v="14"/>
    <x v="0"/>
    <x v="0"/>
    <x v="0"/>
    <x v="10"/>
    <x v="25"/>
    <x v="0"/>
    <x v="0"/>
    <x v="7"/>
    <x v="0"/>
    <x v="0"/>
    <x v="0"/>
    <x v="0"/>
  </r>
  <r>
    <x v="0"/>
    <x v="14"/>
    <x v="0"/>
    <x v="1"/>
    <x v="0"/>
    <x v="26"/>
    <x v="26"/>
    <x v="0"/>
    <x v="1"/>
    <x v="66"/>
    <x v="0"/>
    <x v="0"/>
    <x v="0"/>
    <x v="0"/>
  </r>
  <r>
    <x v="0"/>
    <x v="14"/>
    <x v="0"/>
    <x v="0"/>
    <x v="0"/>
    <x v="7"/>
    <x v="7"/>
    <x v="0"/>
    <x v="0"/>
    <x v="10"/>
    <x v="0"/>
    <x v="0"/>
    <x v="0"/>
    <x v="0"/>
  </r>
  <r>
    <x v="0"/>
    <x v="14"/>
    <x v="0"/>
    <x v="5"/>
    <x v="0"/>
    <x v="12"/>
    <x v="11"/>
    <x v="0"/>
    <x v="3"/>
    <x v="23"/>
    <x v="0"/>
    <x v="0"/>
    <x v="0"/>
    <x v="0"/>
  </r>
  <r>
    <x v="0"/>
    <x v="14"/>
    <x v="0"/>
    <x v="8"/>
    <x v="0"/>
    <x v="3"/>
    <x v="3"/>
    <x v="0"/>
    <x v="16"/>
    <x v="53"/>
    <x v="0"/>
    <x v="0"/>
    <x v="0"/>
    <x v="0"/>
  </r>
  <r>
    <x v="0"/>
    <x v="15"/>
    <x v="0"/>
    <x v="0"/>
    <x v="0"/>
    <x v="14"/>
    <x v="13"/>
    <x v="0"/>
    <x v="0"/>
    <x v="32"/>
    <x v="0"/>
    <x v="0"/>
    <x v="0"/>
    <x v="0"/>
  </r>
  <r>
    <x v="0"/>
    <x v="15"/>
    <x v="0"/>
    <x v="2"/>
    <x v="0"/>
    <x v="20"/>
    <x v="19"/>
    <x v="0"/>
    <x v="2"/>
    <x v="67"/>
    <x v="0"/>
    <x v="0"/>
    <x v="0"/>
    <x v="0"/>
  </r>
  <r>
    <x v="0"/>
    <x v="15"/>
    <x v="0"/>
    <x v="3"/>
    <x v="0"/>
    <x v="20"/>
    <x v="19"/>
    <x v="0"/>
    <x v="3"/>
    <x v="68"/>
    <x v="0"/>
    <x v="0"/>
    <x v="0"/>
    <x v="0"/>
  </r>
  <r>
    <x v="0"/>
    <x v="15"/>
    <x v="0"/>
    <x v="4"/>
    <x v="0"/>
    <x v="20"/>
    <x v="19"/>
    <x v="0"/>
    <x v="4"/>
    <x v="69"/>
    <x v="0"/>
    <x v="0"/>
    <x v="0"/>
    <x v="0"/>
  </r>
  <r>
    <x v="0"/>
    <x v="15"/>
    <x v="9"/>
    <x v="0"/>
    <x v="0"/>
    <x v="27"/>
    <x v="27"/>
    <x v="0"/>
    <x v="20"/>
    <x v="70"/>
    <x v="0"/>
    <x v="0"/>
    <x v="0"/>
    <x v="0"/>
  </r>
  <r>
    <x v="0"/>
    <x v="15"/>
    <x v="9"/>
    <x v="5"/>
    <x v="0"/>
    <x v="27"/>
    <x v="27"/>
    <x v="0"/>
    <x v="21"/>
    <x v="71"/>
    <x v="0"/>
    <x v="0"/>
    <x v="0"/>
    <x v="0"/>
  </r>
  <r>
    <x v="0"/>
    <x v="15"/>
    <x v="7"/>
    <x v="0"/>
    <x v="0"/>
    <x v="1"/>
    <x v="1"/>
    <x v="0"/>
    <x v="18"/>
    <x v="72"/>
    <x v="0"/>
    <x v="0"/>
    <x v="0"/>
    <x v="1"/>
  </r>
  <r>
    <x v="0"/>
    <x v="16"/>
    <x v="0"/>
    <x v="1"/>
    <x v="0"/>
    <x v="9"/>
    <x v="9"/>
    <x v="0"/>
    <x v="1"/>
    <x v="19"/>
    <x v="0"/>
    <x v="0"/>
    <x v="0"/>
    <x v="0"/>
  </r>
  <r>
    <x v="0"/>
    <x v="16"/>
    <x v="0"/>
    <x v="0"/>
    <x v="0"/>
    <x v="9"/>
    <x v="9"/>
    <x v="0"/>
    <x v="0"/>
    <x v="20"/>
    <x v="0"/>
    <x v="0"/>
    <x v="0"/>
    <x v="0"/>
  </r>
  <r>
    <x v="0"/>
    <x v="16"/>
    <x v="0"/>
    <x v="5"/>
    <x v="0"/>
    <x v="9"/>
    <x v="9"/>
    <x v="0"/>
    <x v="3"/>
    <x v="21"/>
    <x v="0"/>
    <x v="0"/>
    <x v="0"/>
    <x v="0"/>
  </r>
  <r>
    <x v="0"/>
    <x v="16"/>
    <x v="0"/>
    <x v="1"/>
    <x v="0"/>
    <x v="9"/>
    <x v="9"/>
    <x v="0"/>
    <x v="1"/>
    <x v="19"/>
    <x v="0"/>
    <x v="0"/>
    <x v="0"/>
    <x v="0"/>
  </r>
  <r>
    <x v="0"/>
    <x v="16"/>
    <x v="0"/>
    <x v="0"/>
    <x v="0"/>
    <x v="9"/>
    <x v="9"/>
    <x v="0"/>
    <x v="0"/>
    <x v="20"/>
    <x v="0"/>
    <x v="0"/>
    <x v="0"/>
    <x v="0"/>
  </r>
  <r>
    <x v="0"/>
    <x v="16"/>
    <x v="0"/>
    <x v="5"/>
    <x v="0"/>
    <x v="9"/>
    <x v="9"/>
    <x v="0"/>
    <x v="3"/>
    <x v="21"/>
    <x v="0"/>
    <x v="0"/>
    <x v="0"/>
    <x v="0"/>
  </r>
  <r>
    <x v="0"/>
    <x v="16"/>
    <x v="0"/>
    <x v="4"/>
    <x v="0"/>
    <x v="7"/>
    <x v="7"/>
    <x v="0"/>
    <x v="4"/>
    <x v="73"/>
    <x v="0"/>
    <x v="0"/>
    <x v="0"/>
    <x v="0"/>
  </r>
  <r>
    <x v="0"/>
    <x v="17"/>
    <x v="0"/>
    <x v="1"/>
    <x v="0"/>
    <x v="14"/>
    <x v="13"/>
    <x v="0"/>
    <x v="1"/>
    <x v="74"/>
    <x v="0"/>
    <x v="0"/>
    <x v="0"/>
    <x v="0"/>
  </r>
  <r>
    <x v="0"/>
    <x v="17"/>
    <x v="0"/>
    <x v="0"/>
    <x v="0"/>
    <x v="14"/>
    <x v="13"/>
    <x v="0"/>
    <x v="0"/>
    <x v="32"/>
    <x v="0"/>
    <x v="0"/>
    <x v="0"/>
    <x v="0"/>
  </r>
  <r>
    <x v="0"/>
    <x v="18"/>
    <x v="0"/>
    <x v="0"/>
    <x v="0"/>
    <x v="28"/>
    <x v="28"/>
    <x v="0"/>
    <x v="0"/>
    <x v="75"/>
    <x v="0"/>
    <x v="0"/>
    <x v="0"/>
    <x v="0"/>
  </r>
  <r>
    <x v="0"/>
    <x v="19"/>
    <x v="0"/>
    <x v="3"/>
    <x v="0"/>
    <x v="1"/>
    <x v="1"/>
    <x v="0"/>
    <x v="3"/>
    <x v="4"/>
    <x v="0"/>
    <x v="0"/>
    <x v="0"/>
    <x v="0"/>
  </r>
  <r>
    <x v="0"/>
    <x v="19"/>
    <x v="0"/>
    <x v="0"/>
    <x v="0"/>
    <x v="1"/>
    <x v="1"/>
    <x v="0"/>
    <x v="0"/>
    <x v="2"/>
    <x v="0"/>
    <x v="0"/>
    <x v="0"/>
    <x v="0"/>
  </r>
  <r>
    <x v="0"/>
    <x v="20"/>
    <x v="1"/>
    <x v="0"/>
    <x v="0"/>
    <x v="8"/>
    <x v="8"/>
    <x v="0"/>
    <x v="5"/>
    <x v="11"/>
    <x v="0"/>
    <x v="1"/>
    <x v="0"/>
    <x v="0"/>
  </r>
  <r>
    <x v="0"/>
    <x v="20"/>
    <x v="10"/>
    <x v="0"/>
    <x v="0"/>
    <x v="6"/>
    <x v="6"/>
    <x v="0"/>
    <x v="22"/>
    <x v="76"/>
    <x v="0"/>
    <x v="0"/>
    <x v="0"/>
    <x v="0"/>
  </r>
  <r>
    <x v="0"/>
    <x v="20"/>
    <x v="6"/>
    <x v="8"/>
    <x v="0"/>
    <x v="7"/>
    <x v="7"/>
    <x v="0"/>
    <x v="15"/>
    <x v="32"/>
    <x v="2"/>
    <x v="0"/>
    <x v="0"/>
    <x v="0"/>
  </r>
  <r>
    <x v="1"/>
    <x v="21"/>
    <x v="11"/>
    <x v="0"/>
    <x v="2"/>
    <x v="29"/>
    <x v="29"/>
    <x v="0"/>
    <x v="22"/>
    <x v="77"/>
    <x v="3"/>
    <x v="0"/>
    <x v="0"/>
    <x v="0"/>
  </r>
  <r>
    <x v="2"/>
    <x v="22"/>
    <x v="12"/>
    <x v="1"/>
    <x v="0"/>
    <x v="25"/>
    <x v="24"/>
    <x v="0"/>
    <x v="1"/>
    <x v="62"/>
    <x v="0"/>
    <x v="0"/>
    <x v="0"/>
    <x v="0"/>
  </r>
  <r>
    <x v="2"/>
    <x v="22"/>
    <x v="12"/>
    <x v="0"/>
    <x v="0"/>
    <x v="25"/>
    <x v="24"/>
    <x v="0"/>
    <x v="0"/>
    <x v="78"/>
    <x v="0"/>
    <x v="0"/>
    <x v="0"/>
    <x v="0"/>
  </r>
  <r>
    <x v="2"/>
    <x v="22"/>
    <x v="12"/>
    <x v="5"/>
    <x v="0"/>
    <x v="25"/>
    <x v="24"/>
    <x v="0"/>
    <x v="3"/>
    <x v="79"/>
    <x v="0"/>
    <x v="0"/>
    <x v="0"/>
    <x v="0"/>
  </r>
  <r>
    <x v="3"/>
    <x v="23"/>
    <x v="8"/>
    <x v="5"/>
    <x v="0"/>
    <x v="14"/>
    <x v="13"/>
    <x v="0"/>
    <x v="11"/>
    <x v="55"/>
    <x v="0"/>
    <x v="0"/>
    <x v="0"/>
    <x v="2"/>
  </r>
  <r>
    <x v="4"/>
    <x v="24"/>
    <x v="7"/>
    <x v="3"/>
    <x v="0"/>
    <x v="2"/>
    <x v="2"/>
    <x v="0"/>
    <x v="19"/>
    <x v="46"/>
    <x v="0"/>
    <x v="0"/>
    <x v="0"/>
    <x v="1"/>
  </r>
  <r>
    <x v="4"/>
    <x v="24"/>
    <x v="7"/>
    <x v="4"/>
    <x v="0"/>
    <x v="2"/>
    <x v="2"/>
    <x v="0"/>
    <x v="15"/>
    <x v="62"/>
    <x v="0"/>
    <x v="0"/>
    <x v="0"/>
    <x v="1"/>
  </r>
  <r>
    <x v="5"/>
    <x v="25"/>
    <x v="13"/>
    <x v="0"/>
    <x v="0"/>
    <x v="10"/>
    <x v="25"/>
    <x v="0"/>
    <x v="0"/>
    <x v="7"/>
    <x v="0"/>
    <x v="0"/>
    <x v="0"/>
    <x v="0"/>
  </r>
  <r>
    <x v="6"/>
    <x v="25"/>
    <x v="14"/>
    <x v="2"/>
    <x v="0"/>
    <x v="9"/>
    <x v="9"/>
    <x v="0"/>
    <x v="2"/>
    <x v="80"/>
    <x v="0"/>
    <x v="0"/>
    <x v="0"/>
    <x v="0"/>
  </r>
  <r>
    <x v="6"/>
    <x v="25"/>
    <x v="14"/>
    <x v="3"/>
    <x v="0"/>
    <x v="9"/>
    <x v="9"/>
    <x v="0"/>
    <x v="3"/>
    <x v="21"/>
    <x v="0"/>
    <x v="0"/>
    <x v="0"/>
    <x v="0"/>
  </r>
  <r>
    <x v="6"/>
    <x v="25"/>
    <x v="14"/>
    <x v="4"/>
    <x v="0"/>
    <x v="30"/>
    <x v="30"/>
    <x v="0"/>
    <x v="4"/>
    <x v="81"/>
    <x v="0"/>
    <x v="0"/>
    <x v="0"/>
    <x v="0"/>
  </r>
  <r>
    <x v="6"/>
    <x v="25"/>
    <x v="14"/>
    <x v="0"/>
    <x v="0"/>
    <x v="9"/>
    <x v="9"/>
    <x v="0"/>
    <x v="0"/>
    <x v="20"/>
    <x v="0"/>
    <x v="0"/>
    <x v="0"/>
    <x v="0"/>
  </r>
  <r>
    <x v="6"/>
    <x v="25"/>
    <x v="14"/>
    <x v="5"/>
    <x v="0"/>
    <x v="9"/>
    <x v="9"/>
    <x v="0"/>
    <x v="3"/>
    <x v="21"/>
    <x v="0"/>
    <x v="0"/>
    <x v="0"/>
    <x v="0"/>
  </r>
  <r>
    <x v="6"/>
    <x v="25"/>
    <x v="14"/>
    <x v="10"/>
    <x v="0"/>
    <x v="3"/>
    <x v="3"/>
    <x v="0"/>
    <x v="5"/>
    <x v="82"/>
    <x v="0"/>
    <x v="0"/>
    <x v="0"/>
    <x v="0"/>
  </r>
  <r>
    <x v="6"/>
    <x v="25"/>
    <x v="14"/>
    <x v="11"/>
    <x v="0"/>
    <x v="3"/>
    <x v="3"/>
    <x v="0"/>
    <x v="4"/>
    <x v="6"/>
    <x v="0"/>
    <x v="0"/>
    <x v="0"/>
    <x v="0"/>
  </r>
  <r>
    <x v="6"/>
    <x v="25"/>
    <x v="14"/>
    <x v="12"/>
    <x v="0"/>
    <x v="3"/>
    <x v="3"/>
    <x v="0"/>
    <x v="23"/>
    <x v="83"/>
    <x v="0"/>
    <x v="0"/>
    <x v="0"/>
    <x v="3"/>
  </r>
  <r>
    <x v="7"/>
    <x v="26"/>
    <x v="15"/>
    <x v="5"/>
    <x v="0"/>
    <x v="9"/>
    <x v="9"/>
    <x v="0"/>
    <x v="11"/>
    <x v="84"/>
    <x v="0"/>
    <x v="0"/>
    <x v="0"/>
    <x v="0"/>
  </r>
  <r>
    <x v="8"/>
    <x v="27"/>
    <x v="16"/>
    <x v="0"/>
    <x v="0"/>
    <x v="6"/>
    <x v="6"/>
    <x v="0"/>
    <x v="0"/>
    <x v="9"/>
    <x v="0"/>
    <x v="0"/>
    <x v="0"/>
    <x v="0"/>
  </r>
  <r>
    <x v="9"/>
    <x v="28"/>
    <x v="17"/>
    <x v="1"/>
    <x v="0"/>
    <x v="7"/>
    <x v="7"/>
    <x v="0"/>
    <x v="24"/>
    <x v="85"/>
    <x v="0"/>
    <x v="0"/>
    <x v="0"/>
    <x v="0"/>
  </r>
  <r>
    <x v="9"/>
    <x v="28"/>
    <x v="17"/>
    <x v="0"/>
    <x v="0"/>
    <x v="7"/>
    <x v="7"/>
    <x v="0"/>
    <x v="25"/>
    <x v="86"/>
    <x v="0"/>
    <x v="0"/>
    <x v="0"/>
    <x v="0"/>
  </r>
  <r>
    <x v="9"/>
    <x v="28"/>
    <x v="17"/>
    <x v="5"/>
    <x v="0"/>
    <x v="7"/>
    <x v="7"/>
    <x v="0"/>
    <x v="4"/>
    <x v="73"/>
    <x v="0"/>
    <x v="0"/>
    <x v="0"/>
    <x v="0"/>
  </r>
  <r>
    <x v="9"/>
    <x v="28"/>
    <x v="17"/>
    <x v="7"/>
    <x v="0"/>
    <x v="7"/>
    <x v="7"/>
    <x v="0"/>
    <x v="16"/>
    <x v="87"/>
    <x v="0"/>
    <x v="0"/>
    <x v="0"/>
    <x v="0"/>
  </r>
  <r>
    <x v="10"/>
    <x v="28"/>
    <x v="16"/>
    <x v="5"/>
    <x v="0"/>
    <x v="9"/>
    <x v="9"/>
    <x v="0"/>
    <x v="3"/>
    <x v="21"/>
    <x v="0"/>
    <x v="0"/>
    <x v="0"/>
    <x v="0"/>
  </r>
  <r>
    <x v="11"/>
    <x v="29"/>
    <x v="18"/>
    <x v="0"/>
    <x v="0"/>
    <x v="1"/>
    <x v="1"/>
    <x v="0"/>
    <x v="0"/>
    <x v="2"/>
    <x v="0"/>
    <x v="0"/>
    <x v="0"/>
    <x v="0"/>
  </r>
  <r>
    <x v="12"/>
    <x v="29"/>
    <x v="19"/>
    <x v="6"/>
    <x v="0"/>
    <x v="12"/>
    <x v="11"/>
    <x v="0"/>
    <x v="3"/>
    <x v="23"/>
    <x v="0"/>
    <x v="0"/>
    <x v="0"/>
    <x v="0"/>
  </r>
  <r>
    <x v="12"/>
    <x v="29"/>
    <x v="19"/>
    <x v="0"/>
    <x v="0"/>
    <x v="12"/>
    <x v="11"/>
    <x v="0"/>
    <x v="0"/>
    <x v="61"/>
    <x v="0"/>
    <x v="0"/>
    <x v="0"/>
    <x v="0"/>
  </r>
  <r>
    <x v="13"/>
    <x v="29"/>
    <x v="20"/>
    <x v="0"/>
    <x v="0"/>
    <x v="7"/>
    <x v="7"/>
    <x v="0"/>
    <x v="0"/>
    <x v="10"/>
    <x v="0"/>
    <x v="0"/>
    <x v="0"/>
    <x v="0"/>
  </r>
  <r>
    <x v="14"/>
    <x v="29"/>
    <x v="21"/>
    <x v="8"/>
    <x v="0"/>
    <x v="9"/>
    <x v="9"/>
    <x v="0"/>
    <x v="16"/>
    <x v="51"/>
    <x v="0"/>
    <x v="0"/>
    <x v="0"/>
    <x v="0"/>
  </r>
  <r>
    <x v="14"/>
    <x v="29"/>
    <x v="21"/>
    <x v="5"/>
    <x v="0"/>
    <x v="31"/>
    <x v="31"/>
    <x v="0"/>
    <x v="3"/>
    <x v="88"/>
    <x v="0"/>
    <x v="0"/>
    <x v="0"/>
    <x v="0"/>
  </r>
  <r>
    <x v="14"/>
    <x v="29"/>
    <x v="21"/>
    <x v="0"/>
    <x v="0"/>
    <x v="9"/>
    <x v="9"/>
    <x v="0"/>
    <x v="0"/>
    <x v="20"/>
    <x v="0"/>
    <x v="0"/>
    <x v="0"/>
    <x v="0"/>
  </r>
  <r>
    <x v="15"/>
    <x v="29"/>
    <x v="22"/>
    <x v="5"/>
    <x v="0"/>
    <x v="12"/>
    <x v="11"/>
    <x v="0"/>
    <x v="3"/>
    <x v="23"/>
    <x v="0"/>
    <x v="0"/>
    <x v="0"/>
    <x v="0"/>
  </r>
  <r>
    <x v="15"/>
    <x v="29"/>
    <x v="22"/>
    <x v="5"/>
    <x v="0"/>
    <x v="14"/>
    <x v="13"/>
    <x v="0"/>
    <x v="3"/>
    <x v="89"/>
    <x v="0"/>
    <x v="0"/>
    <x v="0"/>
    <x v="0"/>
  </r>
  <r>
    <x v="16"/>
    <x v="29"/>
    <x v="23"/>
    <x v="5"/>
    <x v="0"/>
    <x v="7"/>
    <x v="7"/>
    <x v="0"/>
    <x v="3"/>
    <x v="69"/>
    <x v="0"/>
    <x v="0"/>
    <x v="0"/>
    <x v="0"/>
  </r>
  <r>
    <x v="17"/>
    <x v="30"/>
    <x v="24"/>
    <x v="5"/>
    <x v="0"/>
    <x v="20"/>
    <x v="19"/>
    <x v="0"/>
    <x v="26"/>
    <x v="90"/>
    <x v="0"/>
    <x v="1"/>
    <x v="0"/>
    <x v="0"/>
  </r>
  <r>
    <x v="18"/>
    <x v="31"/>
    <x v="25"/>
    <x v="13"/>
    <x v="0"/>
    <x v="14"/>
    <x v="13"/>
    <x v="0"/>
    <x v="27"/>
    <x v="91"/>
    <x v="0"/>
    <x v="0"/>
    <x v="0"/>
    <x v="0"/>
  </r>
  <r>
    <x v="19"/>
    <x v="31"/>
    <x v="25"/>
    <x v="0"/>
    <x v="0"/>
    <x v="6"/>
    <x v="6"/>
    <x v="0"/>
    <x v="20"/>
    <x v="92"/>
    <x v="0"/>
    <x v="0"/>
    <x v="0"/>
    <x v="0"/>
  </r>
  <r>
    <x v="20"/>
    <x v="31"/>
    <x v="7"/>
    <x v="0"/>
    <x v="0"/>
    <x v="1"/>
    <x v="1"/>
    <x v="0"/>
    <x v="18"/>
    <x v="72"/>
    <x v="0"/>
    <x v="0"/>
    <x v="0"/>
    <x v="1"/>
  </r>
  <r>
    <x v="20"/>
    <x v="31"/>
    <x v="7"/>
    <x v="5"/>
    <x v="0"/>
    <x v="32"/>
    <x v="32"/>
    <x v="0"/>
    <x v="19"/>
    <x v="93"/>
    <x v="0"/>
    <x v="0"/>
    <x v="0"/>
    <x v="1"/>
  </r>
  <r>
    <x v="21"/>
    <x v="30"/>
    <x v="16"/>
    <x v="5"/>
    <x v="0"/>
    <x v="33"/>
    <x v="33"/>
    <x v="0"/>
    <x v="3"/>
    <x v="94"/>
    <x v="0"/>
    <x v="0"/>
    <x v="0"/>
    <x v="4"/>
  </r>
  <r>
    <x v="21"/>
    <x v="30"/>
    <x v="16"/>
    <x v="14"/>
    <x v="0"/>
    <x v="14"/>
    <x v="13"/>
    <x v="0"/>
    <x v="28"/>
    <x v="95"/>
    <x v="0"/>
    <x v="0"/>
    <x v="0"/>
    <x v="0"/>
  </r>
  <r>
    <x v="22"/>
    <x v="32"/>
    <x v="26"/>
    <x v="0"/>
    <x v="0"/>
    <x v="1"/>
    <x v="1"/>
    <x v="0"/>
    <x v="18"/>
    <x v="72"/>
    <x v="0"/>
    <x v="0"/>
    <x v="0"/>
    <x v="5"/>
  </r>
  <r>
    <x v="22"/>
    <x v="32"/>
    <x v="26"/>
    <x v="8"/>
    <x v="0"/>
    <x v="1"/>
    <x v="1"/>
    <x v="0"/>
    <x v="16"/>
    <x v="96"/>
    <x v="0"/>
    <x v="0"/>
    <x v="0"/>
    <x v="0"/>
  </r>
  <r>
    <x v="23"/>
    <x v="32"/>
    <x v="27"/>
    <x v="0"/>
    <x v="0"/>
    <x v="3"/>
    <x v="3"/>
    <x v="0"/>
    <x v="0"/>
    <x v="79"/>
    <x v="0"/>
    <x v="0"/>
    <x v="0"/>
    <x v="6"/>
  </r>
  <r>
    <x v="23"/>
    <x v="32"/>
    <x v="27"/>
    <x v="6"/>
    <x v="0"/>
    <x v="9"/>
    <x v="9"/>
    <x v="0"/>
    <x v="3"/>
    <x v="21"/>
    <x v="0"/>
    <x v="0"/>
    <x v="0"/>
    <x v="0"/>
  </r>
  <r>
    <x v="24"/>
    <x v="32"/>
    <x v="28"/>
    <x v="0"/>
    <x v="0"/>
    <x v="1"/>
    <x v="1"/>
    <x v="0"/>
    <x v="0"/>
    <x v="2"/>
    <x v="0"/>
    <x v="0"/>
    <x v="0"/>
    <x v="0"/>
  </r>
  <r>
    <x v="24"/>
    <x v="32"/>
    <x v="28"/>
    <x v="5"/>
    <x v="0"/>
    <x v="1"/>
    <x v="1"/>
    <x v="0"/>
    <x v="3"/>
    <x v="4"/>
    <x v="0"/>
    <x v="0"/>
    <x v="0"/>
    <x v="0"/>
  </r>
  <r>
    <x v="25"/>
    <x v="33"/>
    <x v="29"/>
    <x v="1"/>
    <x v="0"/>
    <x v="9"/>
    <x v="9"/>
    <x v="0"/>
    <x v="1"/>
    <x v="19"/>
    <x v="0"/>
    <x v="0"/>
    <x v="0"/>
    <x v="0"/>
  </r>
  <r>
    <x v="25"/>
    <x v="33"/>
    <x v="29"/>
    <x v="0"/>
    <x v="0"/>
    <x v="9"/>
    <x v="9"/>
    <x v="0"/>
    <x v="0"/>
    <x v="20"/>
    <x v="0"/>
    <x v="0"/>
    <x v="0"/>
    <x v="0"/>
  </r>
  <r>
    <x v="25"/>
    <x v="33"/>
    <x v="29"/>
    <x v="5"/>
    <x v="0"/>
    <x v="9"/>
    <x v="9"/>
    <x v="0"/>
    <x v="3"/>
    <x v="21"/>
    <x v="0"/>
    <x v="0"/>
    <x v="0"/>
    <x v="0"/>
  </r>
  <r>
    <x v="26"/>
    <x v="33"/>
    <x v="30"/>
    <x v="1"/>
    <x v="0"/>
    <x v="3"/>
    <x v="3"/>
    <x v="0"/>
    <x v="1"/>
    <x v="97"/>
    <x v="0"/>
    <x v="0"/>
    <x v="0"/>
    <x v="0"/>
  </r>
  <r>
    <x v="26"/>
    <x v="33"/>
    <x v="30"/>
    <x v="0"/>
    <x v="0"/>
    <x v="3"/>
    <x v="3"/>
    <x v="0"/>
    <x v="0"/>
    <x v="79"/>
    <x v="0"/>
    <x v="0"/>
    <x v="0"/>
    <x v="0"/>
  </r>
  <r>
    <x v="26"/>
    <x v="33"/>
    <x v="30"/>
    <x v="5"/>
    <x v="0"/>
    <x v="3"/>
    <x v="3"/>
    <x v="0"/>
    <x v="3"/>
    <x v="98"/>
    <x v="0"/>
    <x v="0"/>
    <x v="0"/>
    <x v="0"/>
  </r>
  <r>
    <x v="27"/>
    <x v="33"/>
    <x v="31"/>
    <x v="4"/>
    <x v="0"/>
    <x v="34"/>
    <x v="34"/>
    <x v="0"/>
    <x v="4"/>
    <x v="99"/>
    <x v="0"/>
    <x v="0"/>
    <x v="0"/>
    <x v="0"/>
  </r>
  <r>
    <x v="27"/>
    <x v="33"/>
    <x v="31"/>
    <x v="4"/>
    <x v="2"/>
    <x v="29"/>
    <x v="35"/>
    <x v="0"/>
    <x v="4"/>
    <x v="100"/>
    <x v="0"/>
    <x v="0"/>
    <x v="0"/>
    <x v="0"/>
  </r>
  <r>
    <x v="28"/>
    <x v="33"/>
    <x v="32"/>
    <x v="0"/>
    <x v="0"/>
    <x v="9"/>
    <x v="9"/>
    <x v="0"/>
    <x v="0"/>
    <x v="20"/>
    <x v="0"/>
    <x v="0"/>
    <x v="0"/>
    <x v="0"/>
  </r>
  <r>
    <x v="18"/>
    <x v="34"/>
    <x v="25"/>
    <x v="7"/>
    <x v="0"/>
    <x v="14"/>
    <x v="13"/>
    <x v="0"/>
    <x v="29"/>
    <x v="101"/>
    <x v="0"/>
    <x v="0"/>
    <x v="0"/>
    <x v="0"/>
  </r>
  <r>
    <x v="19"/>
    <x v="34"/>
    <x v="25"/>
    <x v="5"/>
    <x v="0"/>
    <x v="6"/>
    <x v="6"/>
    <x v="0"/>
    <x v="30"/>
    <x v="102"/>
    <x v="0"/>
    <x v="0"/>
    <x v="0"/>
    <x v="0"/>
  </r>
  <r>
    <x v="29"/>
    <x v="35"/>
    <x v="33"/>
    <x v="5"/>
    <x v="0"/>
    <x v="7"/>
    <x v="7"/>
    <x v="0"/>
    <x v="19"/>
    <x v="60"/>
    <x v="0"/>
    <x v="0"/>
    <x v="0"/>
    <x v="0"/>
  </r>
  <r>
    <x v="29"/>
    <x v="35"/>
    <x v="33"/>
    <x v="3"/>
    <x v="0"/>
    <x v="26"/>
    <x v="26"/>
    <x v="0"/>
    <x v="19"/>
    <x v="80"/>
    <x v="0"/>
    <x v="0"/>
    <x v="0"/>
    <x v="0"/>
  </r>
  <r>
    <x v="30"/>
    <x v="36"/>
    <x v="34"/>
    <x v="8"/>
    <x v="0"/>
    <x v="9"/>
    <x v="9"/>
    <x v="0"/>
    <x v="16"/>
    <x v="51"/>
    <x v="0"/>
    <x v="0"/>
    <x v="0"/>
    <x v="0"/>
  </r>
  <r>
    <x v="31"/>
    <x v="36"/>
    <x v="35"/>
    <x v="0"/>
    <x v="0"/>
    <x v="1"/>
    <x v="1"/>
    <x v="0"/>
    <x v="0"/>
    <x v="2"/>
    <x v="0"/>
    <x v="0"/>
    <x v="0"/>
    <x v="0"/>
  </r>
  <r>
    <x v="32"/>
    <x v="36"/>
    <x v="36"/>
    <x v="1"/>
    <x v="0"/>
    <x v="35"/>
    <x v="36"/>
    <x v="0"/>
    <x v="31"/>
    <x v="103"/>
    <x v="0"/>
    <x v="0"/>
    <x v="0"/>
    <x v="0"/>
  </r>
  <r>
    <x v="33"/>
    <x v="36"/>
    <x v="16"/>
    <x v="1"/>
    <x v="0"/>
    <x v="1"/>
    <x v="1"/>
    <x v="0"/>
    <x v="1"/>
    <x v="1"/>
    <x v="0"/>
    <x v="0"/>
    <x v="0"/>
    <x v="0"/>
  </r>
  <r>
    <x v="33"/>
    <x v="36"/>
    <x v="16"/>
    <x v="0"/>
    <x v="0"/>
    <x v="1"/>
    <x v="1"/>
    <x v="0"/>
    <x v="0"/>
    <x v="2"/>
    <x v="0"/>
    <x v="0"/>
    <x v="0"/>
    <x v="0"/>
  </r>
  <r>
    <x v="34"/>
    <x v="37"/>
    <x v="16"/>
    <x v="1"/>
    <x v="0"/>
    <x v="2"/>
    <x v="2"/>
    <x v="0"/>
    <x v="1"/>
    <x v="40"/>
    <x v="0"/>
    <x v="0"/>
    <x v="0"/>
    <x v="0"/>
  </r>
  <r>
    <x v="34"/>
    <x v="37"/>
    <x v="16"/>
    <x v="0"/>
    <x v="0"/>
    <x v="2"/>
    <x v="2"/>
    <x v="0"/>
    <x v="0"/>
    <x v="41"/>
    <x v="0"/>
    <x v="0"/>
    <x v="0"/>
    <x v="0"/>
  </r>
  <r>
    <x v="35"/>
    <x v="38"/>
    <x v="16"/>
    <x v="15"/>
    <x v="0"/>
    <x v="9"/>
    <x v="9"/>
    <x v="0"/>
    <x v="16"/>
    <x v="51"/>
    <x v="0"/>
    <x v="0"/>
    <x v="0"/>
    <x v="0"/>
  </r>
  <r>
    <x v="20"/>
    <x v="31"/>
    <x v="7"/>
    <x v="5"/>
    <x v="0"/>
    <x v="1"/>
    <x v="1"/>
    <x v="0"/>
    <x v="19"/>
    <x v="67"/>
    <x v="0"/>
    <x v="0"/>
    <x v="0"/>
    <x v="1"/>
  </r>
  <r>
    <x v="20"/>
    <x v="31"/>
    <x v="7"/>
    <x v="0"/>
    <x v="0"/>
    <x v="9"/>
    <x v="9"/>
    <x v="0"/>
    <x v="18"/>
    <x v="104"/>
    <x v="0"/>
    <x v="0"/>
    <x v="0"/>
    <x v="1"/>
  </r>
  <r>
    <x v="20"/>
    <x v="31"/>
    <x v="7"/>
    <x v="1"/>
    <x v="0"/>
    <x v="9"/>
    <x v="9"/>
    <x v="0"/>
    <x v="17"/>
    <x v="105"/>
    <x v="0"/>
    <x v="0"/>
    <x v="0"/>
    <x v="1"/>
  </r>
  <r>
    <x v="20"/>
    <x v="31"/>
    <x v="7"/>
    <x v="0"/>
    <x v="0"/>
    <x v="35"/>
    <x v="36"/>
    <x v="0"/>
    <x v="18"/>
    <x v="21"/>
    <x v="0"/>
    <x v="0"/>
    <x v="0"/>
    <x v="1"/>
  </r>
  <r>
    <x v="20"/>
    <x v="31"/>
    <x v="7"/>
    <x v="5"/>
    <x v="0"/>
    <x v="9"/>
    <x v="9"/>
    <x v="0"/>
    <x v="19"/>
    <x v="106"/>
    <x v="0"/>
    <x v="0"/>
    <x v="0"/>
    <x v="1"/>
  </r>
  <r>
    <x v="19"/>
    <x v="39"/>
    <x v="37"/>
    <x v="3"/>
    <x v="0"/>
    <x v="35"/>
    <x v="36"/>
    <x v="0"/>
    <x v="3"/>
    <x v="61"/>
    <x v="0"/>
    <x v="0"/>
    <x v="0"/>
    <x v="0"/>
  </r>
  <r>
    <x v="19"/>
    <x v="39"/>
    <x v="37"/>
    <x v="0"/>
    <x v="0"/>
    <x v="35"/>
    <x v="36"/>
    <x v="0"/>
    <x v="0"/>
    <x v="107"/>
    <x v="0"/>
    <x v="0"/>
    <x v="0"/>
    <x v="0"/>
  </r>
  <r>
    <x v="19"/>
    <x v="39"/>
    <x v="37"/>
    <x v="2"/>
    <x v="0"/>
    <x v="32"/>
    <x v="32"/>
    <x v="0"/>
    <x v="0"/>
    <x v="108"/>
    <x v="0"/>
    <x v="0"/>
    <x v="0"/>
    <x v="0"/>
  </r>
  <r>
    <x v="19"/>
    <x v="39"/>
    <x v="37"/>
    <x v="1"/>
    <x v="0"/>
    <x v="3"/>
    <x v="3"/>
    <x v="0"/>
    <x v="1"/>
    <x v="97"/>
    <x v="0"/>
    <x v="0"/>
    <x v="0"/>
    <x v="0"/>
  </r>
  <r>
    <x v="19"/>
    <x v="39"/>
    <x v="37"/>
    <x v="0"/>
    <x v="0"/>
    <x v="25"/>
    <x v="24"/>
    <x v="0"/>
    <x v="0"/>
    <x v="78"/>
    <x v="0"/>
    <x v="0"/>
    <x v="0"/>
    <x v="0"/>
  </r>
  <r>
    <x v="36"/>
    <x v="39"/>
    <x v="38"/>
    <x v="1"/>
    <x v="0"/>
    <x v="3"/>
    <x v="3"/>
    <x v="0"/>
    <x v="1"/>
    <x v="97"/>
    <x v="0"/>
    <x v="0"/>
    <x v="0"/>
    <x v="0"/>
  </r>
  <r>
    <x v="36"/>
    <x v="39"/>
    <x v="38"/>
    <x v="0"/>
    <x v="0"/>
    <x v="1"/>
    <x v="1"/>
    <x v="0"/>
    <x v="0"/>
    <x v="2"/>
    <x v="0"/>
    <x v="0"/>
    <x v="0"/>
    <x v="0"/>
  </r>
  <r>
    <x v="36"/>
    <x v="39"/>
    <x v="38"/>
    <x v="2"/>
    <x v="0"/>
    <x v="3"/>
    <x v="3"/>
    <x v="0"/>
    <x v="2"/>
    <x v="109"/>
    <x v="0"/>
    <x v="0"/>
    <x v="0"/>
    <x v="0"/>
  </r>
  <r>
    <x v="37"/>
    <x v="39"/>
    <x v="16"/>
    <x v="1"/>
    <x v="0"/>
    <x v="6"/>
    <x v="6"/>
    <x v="0"/>
    <x v="1"/>
    <x v="30"/>
    <x v="0"/>
    <x v="0"/>
    <x v="0"/>
    <x v="0"/>
  </r>
  <r>
    <x v="37"/>
    <x v="39"/>
    <x v="16"/>
    <x v="0"/>
    <x v="0"/>
    <x v="36"/>
    <x v="37"/>
    <x v="0"/>
    <x v="0"/>
    <x v="110"/>
    <x v="0"/>
    <x v="0"/>
    <x v="0"/>
    <x v="0"/>
  </r>
  <r>
    <x v="37"/>
    <x v="39"/>
    <x v="16"/>
    <x v="5"/>
    <x v="0"/>
    <x v="14"/>
    <x v="13"/>
    <x v="0"/>
    <x v="3"/>
    <x v="89"/>
    <x v="0"/>
    <x v="0"/>
    <x v="0"/>
    <x v="0"/>
  </r>
  <r>
    <x v="38"/>
    <x v="39"/>
    <x v="39"/>
    <x v="8"/>
    <x v="0"/>
    <x v="3"/>
    <x v="3"/>
    <x v="0"/>
    <x v="16"/>
    <x v="53"/>
    <x v="0"/>
    <x v="0"/>
    <x v="0"/>
    <x v="0"/>
  </r>
  <r>
    <x v="39"/>
    <x v="40"/>
    <x v="40"/>
    <x v="0"/>
    <x v="0"/>
    <x v="3"/>
    <x v="3"/>
    <x v="0"/>
    <x v="12"/>
    <x v="111"/>
    <x v="0"/>
    <x v="0"/>
    <x v="0"/>
    <x v="7"/>
  </r>
  <r>
    <x v="39"/>
    <x v="40"/>
    <x v="40"/>
    <x v="4"/>
    <x v="0"/>
    <x v="1"/>
    <x v="1"/>
    <x v="0"/>
    <x v="14"/>
    <x v="112"/>
    <x v="0"/>
    <x v="0"/>
    <x v="0"/>
    <x v="7"/>
  </r>
  <r>
    <x v="39"/>
    <x v="40"/>
    <x v="40"/>
    <x v="7"/>
    <x v="0"/>
    <x v="12"/>
    <x v="11"/>
    <x v="0"/>
    <x v="13"/>
    <x v="113"/>
    <x v="0"/>
    <x v="0"/>
    <x v="0"/>
    <x v="7"/>
  </r>
  <r>
    <x v="40"/>
    <x v="41"/>
    <x v="41"/>
    <x v="0"/>
    <x v="0"/>
    <x v="37"/>
    <x v="38"/>
    <x v="0"/>
    <x v="0"/>
    <x v="114"/>
    <x v="0"/>
    <x v="0"/>
    <x v="0"/>
    <x v="0"/>
  </r>
  <r>
    <x v="40"/>
    <x v="41"/>
    <x v="41"/>
    <x v="5"/>
    <x v="0"/>
    <x v="1"/>
    <x v="1"/>
    <x v="0"/>
    <x v="3"/>
    <x v="4"/>
    <x v="0"/>
    <x v="0"/>
    <x v="0"/>
    <x v="0"/>
  </r>
  <r>
    <x v="41"/>
    <x v="41"/>
    <x v="42"/>
    <x v="15"/>
    <x v="0"/>
    <x v="20"/>
    <x v="19"/>
    <x v="0"/>
    <x v="16"/>
    <x v="115"/>
    <x v="0"/>
    <x v="0"/>
    <x v="0"/>
    <x v="0"/>
  </r>
  <r>
    <x v="42"/>
    <x v="41"/>
    <x v="43"/>
    <x v="5"/>
    <x v="0"/>
    <x v="12"/>
    <x v="11"/>
    <x v="0"/>
    <x v="3"/>
    <x v="23"/>
    <x v="0"/>
    <x v="0"/>
    <x v="0"/>
    <x v="0"/>
  </r>
  <r>
    <x v="42"/>
    <x v="41"/>
    <x v="43"/>
    <x v="0"/>
    <x v="0"/>
    <x v="9"/>
    <x v="9"/>
    <x v="0"/>
    <x v="0"/>
    <x v="20"/>
    <x v="0"/>
    <x v="0"/>
    <x v="0"/>
    <x v="0"/>
  </r>
  <r>
    <x v="43"/>
    <x v="41"/>
    <x v="44"/>
    <x v="8"/>
    <x v="0"/>
    <x v="26"/>
    <x v="26"/>
    <x v="0"/>
    <x v="16"/>
    <x v="116"/>
    <x v="0"/>
    <x v="0"/>
    <x v="0"/>
    <x v="0"/>
  </r>
  <r>
    <x v="44"/>
    <x v="42"/>
    <x v="45"/>
    <x v="0"/>
    <x v="0"/>
    <x v="6"/>
    <x v="6"/>
    <x v="0"/>
    <x v="0"/>
    <x v="9"/>
    <x v="0"/>
    <x v="0"/>
    <x v="0"/>
    <x v="0"/>
  </r>
  <r>
    <x v="44"/>
    <x v="42"/>
    <x v="45"/>
    <x v="5"/>
    <x v="0"/>
    <x v="6"/>
    <x v="6"/>
    <x v="0"/>
    <x v="3"/>
    <x v="31"/>
    <x v="0"/>
    <x v="0"/>
    <x v="0"/>
    <x v="0"/>
  </r>
  <r>
    <x v="45"/>
    <x v="42"/>
    <x v="7"/>
    <x v="1"/>
    <x v="0"/>
    <x v="3"/>
    <x v="3"/>
    <x v="0"/>
    <x v="17"/>
    <x v="117"/>
    <x v="0"/>
    <x v="0"/>
    <x v="0"/>
    <x v="8"/>
  </r>
  <r>
    <x v="45"/>
    <x v="42"/>
    <x v="7"/>
    <x v="0"/>
    <x v="0"/>
    <x v="9"/>
    <x v="9"/>
    <x v="0"/>
    <x v="18"/>
    <x v="104"/>
    <x v="0"/>
    <x v="0"/>
    <x v="0"/>
    <x v="8"/>
  </r>
  <r>
    <x v="45"/>
    <x v="42"/>
    <x v="7"/>
    <x v="5"/>
    <x v="0"/>
    <x v="3"/>
    <x v="3"/>
    <x v="0"/>
    <x v="19"/>
    <x v="66"/>
    <x v="0"/>
    <x v="0"/>
    <x v="0"/>
    <x v="8"/>
  </r>
  <r>
    <x v="46"/>
    <x v="42"/>
    <x v="7"/>
    <x v="0"/>
    <x v="0"/>
    <x v="9"/>
    <x v="9"/>
    <x v="0"/>
    <x v="18"/>
    <x v="104"/>
    <x v="0"/>
    <x v="0"/>
    <x v="0"/>
    <x v="8"/>
  </r>
  <r>
    <x v="46"/>
    <x v="42"/>
    <x v="7"/>
    <x v="3"/>
    <x v="0"/>
    <x v="9"/>
    <x v="9"/>
    <x v="0"/>
    <x v="19"/>
    <x v="106"/>
    <x v="0"/>
    <x v="0"/>
    <x v="0"/>
    <x v="8"/>
  </r>
  <r>
    <x v="47"/>
    <x v="43"/>
    <x v="40"/>
    <x v="1"/>
    <x v="0"/>
    <x v="2"/>
    <x v="2"/>
    <x v="0"/>
    <x v="32"/>
    <x v="118"/>
    <x v="0"/>
    <x v="0"/>
    <x v="0"/>
    <x v="0"/>
  </r>
  <r>
    <x v="47"/>
    <x v="43"/>
    <x v="40"/>
    <x v="0"/>
    <x v="0"/>
    <x v="2"/>
    <x v="2"/>
    <x v="0"/>
    <x v="12"/>
    <x v="119"/>
    <x v="0"/>
    <x v="0"/>
    <x v="0"/>
    <x v="0"/>
  </r>
  <r>
    <x v="48"/>
    <x v="44"/>
    <x v="46"/>
    <x v="0"/>
    <x v="0"/>
    <x v="14"/>
    <x v="13"/>
    <x v="0"/>
    <x v="0"/>
    <x v="32"/>
    <x v="0"/>
    <x v="0"/>
    <x v="0"/>
    <x v="0"/>
  </r>
  <r>
    <x v="48"/>
    <x v="44"/>
    <x v="46"/>
    <x v="6"/>
    <x v="0"/>
    <x v="0"/>
    <x v="0"/>
    <x v="0"/>
    <x v="3"/>
    <x v="120"/>
    <x v="0"/>
    <x v="0"/>
    <x v="0"/>
    <x v="0"/>
  </r>
  <r>
    <x v="49"/>
    <x v="45"/>
    <x v="47"/>
    <x v="0"/>
    <x v="0"/>
    <x v="1"/>
    <x v="1"/>
    <x v="0"/>
    <x v="0"/>
    <x v="2"/>
    <x v="0"/>
    <x v="0"/>
    <x v="0"/>
    <x v="0"/>
  </r>
  <r>
    <x v="50"/>
    <x v="45"/>
    <x v="48"/>
    <x v="1"/>
    <x v="0"/>
    <x v="9"/>
    <x v="9"/>
    <x v="0"/>
    <x v="1"/>
    <x v="19"/>
    <x v="0"/>
    <x v="0"/>
    <x v="0"/>
    <x v="0"/>
  </r>
  <r>
    <x v="50"/>
    <x v="45"/>
    <x v="48"/>
    <x v="0"/>
    <x v="0"/>
    <x v="9"/>
    <x v="9"/>
    <x v="0"/>
    <x v="0"/>
    <x v="20"/>
    <x v="0"/>
    <x v="0"/>
    <x v="0"/>
    <x v="0"/>
  </r>
  <r>
    <x v="50"/>
    <x v="45"/>
    <x v="48"/>
    <x v="5"/>
    <x v="0"/>
    <x v="9"/>
    <x v="9"/>
    <x v="0"/>
    <x v="3"/>
    <x v="21"/>
    <x v="0"/>
    <x v="0"/>
    <x v="0"/>
    <x v="0"/>
  </r>
  <r>
    <x v="51"/>
    <x v="45"/>
    <x v="49"/>
    <x v="2"/>
    <x v="0"/>
    <x v="9"/>
    <x v="9"/>
    <x v="0"/>
    <x v="0"/>
    <x v="20"/>
    <x v="0"/>
    <x v="0"/>
    <x v="0"/>
    <x v="0"/>
  </r>
  <r>
    <x v="52"/>
    <x v="45"/>
    <x v="15"/>
    <x v="13"/>
    <x v="2"/>
    <x v="29"/>
    <x v="29"/>
    <x v="0"/>
    <x v="33"/>
    <x v="121"/>
    <x v="0"/>
    <x v="0"/>
    <x v="0"/>
    <x v="0"/>
  </r>
  <r>
    <x v="53"/>
    <x v="45"/>
    <x v="50"/>
    <x v="1"/>
    <x v="0"/>
    <x v="1"/>
    <x v="1"/>
    <x v="0"/>
    <x v="1"/>
    <x v="1"/>
    <x v="0"/>
    <x v="0"/>
    <x v="0"/>
    <x v="0"/>
  </r>
  <r>
    <x v="53"/>
    <x v="45"/>
    <x v="50"/>
    <x v="0"/>
    <x v="0"/>
    <x v="7"/>
    <x v="7"/>
    <x v="0"/>
    <x v="0"/>
    <x v="10"/>
    <x v="0"/>
    <x v="0"/>
    <x v="0"/>
    <x v="0"/>
  </r>
  <r>
    <x v="54"/>
    <x v="45"/>
    <x v="12"/>
    <x v="1"/>
    <x v="0"/>
    <x v="9"/>
    <x v="9"/>
    <x v="0"/>
    <x v="1"/>
    <x v="19"/>
    <x v="0"/>
    <x v="0"/>
    <x v="0"/>
    <x v="0"/>
  </r>
  <r>
    <x v="54"/>
    <x v="45"/>
    <x v="12"/>
    <x v="0"/>
    <x v="0"/>
    <x v="7"/>
    <x v="7"/>
    <x v="0"/>
    <x v="0"/>
    <x v="10"/>
    <x v="0"/>
    <x v="0"/>
    <x v="0"/>
    <x v="0"/>
  </r>
  <r>
    <x v="55"/>
    <x v="46"/>
    <x v="51"/>
    <x v="0"/>
    <x v="0"/>
    <x v="13"/>
    <x v="12"/>
    <x v="0"/>
    <x v="0"/>
    <x v="29"/>
    <x v="0"/>
    <x v="0"/>
    <x v="0"/>
    <x v="0"/>
  </r>
  <r>
    <x v="56"/>
    <x v="47"/>
    <x v="7"/>
    <x v="0"/>
    <x v="0"/>
    <x v="14"/>
    <x v="13"/>
    <x v="0"/>
    <x v="18"/>
    <x v="122"/>
    <x v="0"/>
    <x v="0"/>
    <x v="0"/>
    <x v="8"/>
  </r>
  <r>
    <x v="45"/>
    <x v="47"/>
    <x v="7"/>
    <x v="0"/>
    <x v="0"/>
    <x v="12"/>
    <x v="11"/>
    <x v="0"/>
    <x v="18"/>
    <x v="64"/>
    <x v="0"/>
    <x v="0"/>
    <x v="0"/>
    <x v="8"/>
  </r>
  <r>
    <x v="57"/>
    <x v="48"/>
    <x v="52"/>
    <x v="0"/>
    <x v="0"/>
    <x v="7"/>
    <x v="7"/>
    <x v="0"/>
    <x v="0"/>
    <x v="10"/>
    <x v="0"/>
    <x v="0"/>
    <x v="0"/>
    <x v="0"/>
  </r>
  <r>
    <x v="58"/>
    <x v="48"/>
    <x v="53"/>
    <x v="0"/>
    <x v="0"/>
    <x v="9"/>
    <x v="9"/>
    <x v="0"/>
    <x v="0"/>
    <x v="20"/>
    <x v="0"/>
    <x v="0"/>
    <x v="0"/>
    <x v="0"/>
  </r>
  <r>
    <x v="59"/>
    <x v="48"/>
    <x v="54"/>
    <x v="0"/>
    <x v="0"/>
    <x v="13"/>
    <x v="12"/>
    <x v="0"/>
    <x v="0"/>
    <x v="29"/>
    <x v="0"/>
    <x v="0"/>
    <x v="0"/>
    <x v="0"/>
  </r>
  <r>
    <x v="59"/>
    <x v="48"/>
    <x v="54"/>
    <x v="1"/>
    <x v="0"/>
    <x v="6"/>
    <x v="6"/>
    <x v="0"/>
    <x v="1"/>
    <x v="30"/>
    <x v="0"/>
    <x v="0"/>
    <x v="0"/>
    <x v="0"/>
  </r>
  <r>
    <x v="60"/>
    <x v="48"/>
    <x v="17"/>
    <x v="1"/>
    <x v="0"/>
    <x v="7"/>
    <x v="7"/>
    <x v="0"/>
    <x v="24"/>
    <x v="85"/>
    <x v="0"/>
    <x v="0"/>
    <x v="0"/>
    <x v="0"/>
  </r>
  <r>
    <x v="60"/>
    <x v="48"/>
    <x v="17"/>
    <x v="0"/>
    <x v="0"/>
    <x v="7"/>
    <x v="7"/>
    <x v="0"/>
    <x v="25"/>
    <x v="86"/>
    <x v="0"/>
    <x v="0"/>
    <x v="0"/>
    <x v="0"/>
  </r>
  <r>
    <x v="60"/>
    <x v="48"/>
    <x v="17"/>
    <x v="5"/>
    <x v="0"/>
    <x v="1"/>
    <x v="1"/>
    <x v="0"/>
    <x v="4"/>
    <x v="10"/>
    <x v="0"/>
    <x v="0"/>
    <x v="0"/>
    <x v="0"/>
  </r>
  <r>
    <x v="60"/>
    <x v="48"/>
    <x v="17"/>
    <x v="7"/>
    <x v="0"/>
    <x v="1"/>
    <x v="1"/>
    <x v="0"/>
    <x v="16"/>
    <x v="96"/>
    <x v="0"/>
    <x v="0"/>
    <x v="0"/>
    <x v="0"/>
  </r>
  <r>
    <x v="61"/>
    <x v="48"/>
    <x v="55"/>
    <x v="5"/>
    <x v="0"/>
    <x v="1"/>
    <x v="1"/>
    <x v="0"/>
    <x v="3"/>
    <x v="4"/>
    <x v="0"/>
    <x v="0"/>
    <x v="0"/>
    <x v="0"/>
  </r>
  <r>
    <x v="61"/>
    <x v="48"/>
    <x v="55"/>
    <x v="0"/>
    <x v="0"/>
    <x v="7"/>
    <x v="7"/>
    <x v="0"/>
    <x v="0"/>
    <x v="10"/>
    <x v="0"/>
    <x v="0"/>
    <x v="0"/>
    <x v="0"/>
  </r>
  <r>
    <x v="62"/>
    <x v="48"/>
    <x v="56"/>
    <x v="0"/>
    <x v="0"/>
    <x v="7"/>
    <x v="7"/>
    <x v="0"/>
    <x v="0"/>
    <x v="10"/>
    <x v="0"/>
    <x v="0"/>
    <x v="0"/>
    <x v="0"/>
  </r>
  <r>
    <x v="63"/>
    <x v="48"/>
    <x v="32"/>
    <x v="1"/>
    <x v="0"/>
    <x v="9"/>
    <x v="9"/>
    <x v="0"/>
    <x v="1"/>
    <x v="19"/>
    <x v="0"/>
    <x v="0"/>
    <x v="0"/>
    <x v="0"/>
  </r>
  <r>
    <x v="63"/>
    <x v="48"/>
    <x v="32"/>
    <x v="0"/>
    <x v="0"/>
    <x v="7"/>
    <x v="7"/>
    <x v="0"/>
    <x v="0"/>
    <x v="10"/>
    <x v="0"/>
    <x v="0"/>
    <x v="0"/>
    <x v="0"/>
  </r>
  <r>
    <x v="64"/>
    <x v="48"/>
    <x v="57"/>
    <x v="15"/>
    <x v="0"/>
    <x v="38"/>
    <x v="39"/>
    <x v="0"/>
    <x v="16"/>
    <x v="123"/>
    <x v="0"/>
    <x v="0"/>
    <x v="0"/>
    <x v="0"/>
  </r>
  <r>
    <x v="65"/>
    <x v="48"/>
    <x v="58"/>
    <x v="0"/>
    <x v="0"/>
    <x v="9"/>
    <x v="9"/>
    <x v="0"/>
    <x v="0"/>
    <x v="20"/>
    <x v="0"/>
    <x v="0"/>
    <x v="0"/>
    <x v="0"/>
  </r>
  <r>
    <x v="65"/>
    <x v="48"/>
    <x v="58"/>
    <x v="1"/>
    <x v="0"/>
    <x v="1"/>
    <x v="1"/>
    <x v="0"/>
    <x v="1"/>
    <x v="1"/>
    <x v="0"/>
    <x v="0"/>
    <x v="0"/>
    <x v="0"/>
  </r>
  <r>
    <x v="66"/>
    <x v="49"/>
    <x v="59"/>
    <x v="6"/>
    <x v="0"/>
    <x v="1"/>
    <x v="1"/>
    <x v="0"/>
    <x v="9"/>
    <x v="124"/>
    <x v="0"/>
    <x v="1"/>
    <x v="0"/>
    <x v="0"/>
  </r>
  <r>
    <x v="67"/>
    <x v="50"/>
    <x v="16"/>
    <x v="0"/>
    <x v="0"/>
    <x v="12"/>
    <x v="11"/>
    <x v="0"/>
    <x v="0"/>
    <x v="61"/>
    <x v="0"/>
    <x v="0"/>
    <x v="0"/>
    <x v="0"/>
  </r>
  <r>
    <x v="67"/>
    <x v="50"/>
    <x v="16"/>
    <x v="1"/>
    <x v="0"/>
    <x v="12"/>
    <x v="11"/>
    <x v="0"/>
    <x v="1"/>
    <x v="21"/>
    <x v="0"/>
    <x v="0"/>
    <x v="0"/>
    <x v="0"/>
  </r>
  <r>
    <x v="67"/>
    <x v="50"/>
    <x v="16"/>
    <x v="3"/>
    <x v="0"/>
    <x v="9"/>
    <x v="9"/>
    <x v="0"/>
    <x v="3"/>
    <x v="21"/>
    <x v="0"/>
    <x v="0"/>
    <x v="0"/>
    <x v="0"/>
  </r>
  <r>
    <x v="68"/>
    <x v="51"/>
    <x v="60"/>
    <x v="0"/>
    <x v="0"/>
    <x v="39"/>
    <x v="40"/>
    <x v="0"/>
    <x v="0"/>
    <x v="125"/>
    <x v="0"/>
    <x v="0"/>
    <x v="0"/>
    <x v="0"/>
  </r>
  <r>
    <x v="69"/>
    <x v="51"/>
    <x v="61"/>
    <x v="1"/>
    <x v="0"/>
    <x v="9"/>
    <x v="9"/>
    <x v="0"/>
    <x v="1"/>
    <x v="19"/>
    <x v="0"/>
    <x v="0"/>
    <x v="0"/>
    <x v="0"/>
  </r>
  <r>
    <x v="69"/>
    <x v="51"/>
    <x v="61"/>
    <x v="0"/>
    <x v="0"/>
    <x v="40"/>
    <x v="41"/>
    <x v="0"/>
    <x v="0"/>
    <x v="126"/>
    <x v="0"/>
    <x v="0"/>
    <x v="0"/>
    <x v="0"/>
  </r>
  <r>
    <x v="69"/>
    <x v="51"/>
    <x v="61"/>
    <x v="5"/>
    <x v="0"/>
    <x v="35"/>
    <x v="36"/>
    <x v="0"/>
    <x v="4"/>
    <x v="127"/>
    <x v="0"/>
    <x v="0"/>
    <x v="0"/>
    <x v="0"/>
  </r>
  <r>
    <x v="56"/>
    <x v="51"/>
    <x v="7"/>
    <x v="0"/>
    <x v="0"/>
    <x v="14"/>
    <x v="13"/>
    <x v="0"/>
    <x v="18"/>
    <x v="122"/>
    <x v="0"/>
    <x v="0"/>
    <x v="0"/>
    <x v="8"/>
  </r>
  <r>
    <x v="70"/>
    <x v="51"/>
    <x v="13"/>
    <x v="0"/>
    <x v="0"/>
    <x v="8"/>
    <x v="8"/>
    <x v="0"/>
    <x v="0"/>
    <x v="128"/>
    <x v="0"/>
    <x v="0"/>
    <x v="0"/>
    <x v="0"/>
  </r>
  <r>
    <x v="71"/>
    <x v="52"/>
    <x v="16"/>
    <x v="8"/>
    <x v="0"/>
    <x v="1"/>
    <x v="1"/>
    <x v="0"/>
    <x v="16"/>
    <x v="96"/>
    <x v="0"/>
    <x v="0"/>
    <x v="0"/>
    <x v="0"/>
  </r>
  <r>
    <x v="72"/>
    <x v="53"/>
    <x v="62"/>
    <x v="0"/>
    <x v="0"/>
    <x v="7"/>
    <x v="7"/>
    <x v="0"/>
    <x v="0"/>
    <x v="10"/>
    <x v="0"/>
    <x v="0"/>
    <x v="0"/>
    <x v="0"/>
  </r>
  <r>
    <x v="73"/>
    <x v="53"/>
    <x v="63"/>
    <x v="1"/>
    <x v="0"/>
    <x v="7"/>
    <x v="7"/>
    <x v="0"/>
    <x v="1"/>
    <x v="4"/>
    <x v="0"/>
    <x v="0"/>
    <x v="0"/>
    <x v="0"/>
  </r>
  <r>
    <x v="74"/>
    <x v="53"/>
    <x v="64"/>
    <x v="0"/>
    <x v="0"/>
    <x v="9"/>
    <x v="9"/>
    <x v="0"/>
    <x v="0"/>
    <x v="20"/>
    <x v="0"/>
    <x v="0"/>
    <x v="0"/>
    <x v="0"/>
  </r>
  <r>
    <x v="74"/>
    <x v="53"/>
    <x v="64"/>
    <x v="5"/>
    <x v="0"/>
    <x v="9"/>
    <x v="9"/>
    <x v="0"/>
    <x v="3"/>
    <x v="21"/>
    <x v="0"/>
    <x v="0"/>
    <x v="0"/>
    <x v="0"/>
  </r>
  <r>
    <x v="74"/>
    <x v="53"/>
    <x v="64"/>
    <x v="3"/>
    <x v="0"/>
    <x v="3"/>
    <x v="3"/>
    <x v="0"/>
    <x v="3"/>
    <x v="98"/>
    <x v="0"/>
    <x v="0"/>
    <x v="0"/>
    <x v="0"/>
  </r>
  <r>
    <x v="74"/>
    <x v="53"/>
    <x v="64"/>
    <x v="4"/>
    <x v="0"/>
    <x v="3"/>
    <x v="3"/>
    <x v="0"/>
    <x v="4"/>
    <x v="6"/>
    <x v="0"/>
    <x v="0"/>
    <x v="0"/>
    <x v="0"/>
  </r>
  <r>
    <x v="75"/>
    <x v="53"/>
    <x v="65"/>
    <x v="10"/>
    <x v="0"/>
    <x v="3"/>
    <x v="3"/>
    <x v="0"/>
    <x v="5"/>
    <x v="82"/>
    <x v="0"/>
    <x v="0"/>
    <x v="0"/>
    <x v="0"/>
  </r>
  <r>
    <x v="76"/>
    <x v="53"/>
    <x v="66"/>
    <x v="0"/>
    <x v="0"/>
    <x v="24"/>
    <x v="23"/>
    <x v="0"/>
    <x v="0"/>
    <x v="5"/>
    <x v="0"/>
    <x v="0"/>
    <x v="0"/>
    <x v="0"/>
  </r>
  <r>
    <x v="76"/>
    <x v="53"/>
    <x v="66"/>
    <x v="1"/>
    <x v="0"/>
    <x v="24"/>
    <x v="23"/>
    <x v="0"/>
    <x v="1"/>
    <x v="129"/>
    <x v="0"/>
    <x v="0"/>
    <x v="0"/>
    <x v="0"/>
  </r>
  <r>
    <x v="76"/>
    <x v="53"/>
    <x v="66"/>
    <x v="5"/>
    <x v="0"/>
    <x v="24"/>
    <x v="23"/>
    <x v="0"/>
    <x v="3"/>
    <x v="58"/>
    <x v="0"/>
    <x v="0"/>
    <x v="0"/>
    <x v="0"/>
  </r>
  <r>
    <x v="76"/>
    <x v="53"/>
    <x v="66"/>
    <x v="4"/>
    <x v="0"/>
    <x v="3"/>
    <x v="3"/>
    <x v="0"/>
    <x v="4"/>
    <x v="6"/>
    <x v="0"/>
    <x v="0"/>
    <x v="0"/>
    <x v="0"/>
  </r>
  <r>
    <x v="76"/>
    <x v="53"/>
    <x v="66"/>
    <x v="3"/>
    <x v="0"/>
    <x v="3"/>
    <x v="3"/>
    <x v="0"/>
    <x v="3"/>
    <x v="98"/>
    <x v="0"/>
    <x v="0"/>
    <x v="0"/>
    <x v="0"/>
  </r>
  <r>
    <x v="77"/>
    <x v="53"/>
    <x v="16"/>
    <x v="0"/>
    <x v="0"/>
    <x v="13"/>
    <x v="12"/>
    <x v="0"/>
    <x v="0"/>
    <x v="29"/>
    <x v="0"/>
    <x v="0"/>
    <x v="0"/>
    <x v="0"/>
  </r>
  <r>
    <x v="77"/>
    <x v="53"/>
    <x v="16"/>
    <x v="8"/>
    <x v="0"/>
    <x v="9"/>
    <x v="9"/>
    <x v="0"/>
    <x v="16"/>
    <x v="51"/>
    <x v="0"/>
    <x v="0"/>
    <x v="0"/>
    <x v="0"/>
  </r>
  <r>
    <x v="78"/>
    <x v="54"/>
    <x v="7"/>
    <x v="0"/>
    <x v="0"/>
    <x v="12"/>
    <x v="11"/>
    <x v="0"/>
    <x v="18"/>
    <x v="64"/>
    <x v="0"/>
    <x v="0"/>
    <x v="0"/>
    <x v="8"/>
  </r>
  <r>
    <x v="78"/>
    <x v="54"/>
    <x v="7"/>
    <x v="5"/>
    <x v="0"/>
    <x v="12"/>
    <x v="11"/>
    <x v="0"/>
    <x v="19"/>
    <x v="2"/>
    <x v="0"/>
    <x v="0"/>
    <x v="0"/>
    <x v="8"/>
  </r>
  <r>
    <x v="79"/>
    <x v="54"/>
    <x v="15"/>
    <x v="5"/>
    <x v="2"/>
    <x v="29"/>
    <x v="42"/>
    <x v="0"/>
    <x v="11"/>
    <x v="130"/>
    <x v="0"/>
    <x v="0"/>
    <x v="0"/>
    <x v="0"/>
  </r>
  <r>
    <x v="80"/>
    <x v="55"/>
    <x v="7"/>
    <x v="0"/>
    <x v="0"/>
    <x v="24"/>
    <x v="23"/>
    <x v="0"/>
    <x v="18"/>
    <x v="131"/>
    <x v="0"/>
    <x v="0"/>
    <x v="0"/>
    <x v="8"/>
  </r>
  <r>
    <x v="80"/>
    <x v="55"/>
    <x v="7"/>
    <x v="4"/>
    <x v="0"/>
    <x v="2"/>
    <x v="2"/>
    <x v="0"/>
    <x v="15"/>
    <x v="62"/>
    <x v="0"/>
    <x v="0"/>
    <x v="0"/>
    <x v="8"/>
  </r>
  <r>
    <x v="81"/>
    <x v="55"/>
    <x v="13"/>
    <x v="5"/>
    <x v="0"/>
    <x v="7"/>
    <x v="7"/>
    <x v="0"/>
    <x v="3"/>
    <x v="69"/>
    <x v="0"/>
    <x v="0"/>
    <x v="0"/>
    <x v="0"/>
  </r>
  <r>
    <x v="82"/>
    <x v="56"/>
    <x v="16"/>
    <x v="0"/>
    <x v="0"/>
    <x v="6"/>
    <x v="6"/>
    <x v="0"/>
    <x v="0"/>
    <x v="9"/>
    <x v="0"/>
    <x v="0"/>
    <x v="0"/>
    <x v="0"/>
  </r>
  <r>
    <x v="72"/>
    <x v="57"/>
    <x v="62"/>
    <x v="5"/>
    <x v="0"/>
    <x v="6"/>
    <x v="6"/>
    <x v="0"/>
    <x v="3"/>
    <x v="31"/>
    <x v="0"/>
    <x v="0"/>
    <x v="0"/>
    <x v="0"/>
  </r>
  <r>
    <x v="72"/>
    <x v="57"/>
    <x v="62"/>
    <x v="0"/>
    <x v="0"/>
    <x v="41"/>
    <x v="43"/>
    <x v="0"/>
    <x v="0"/>
    <x v="132"/>
    <x v="0"/>
    <x v="0"/>
    <x v="0"/>
    <x v="0"/>
  </r>
  <r>
    <x v="72"/>
    <x v="57"/>
    <x v="62"/>
    <x v="0"/>
    <x v="0"/>
    <x v="42"/>
    <x v="44"/>
    <x v="0"/>
    <x v="0"/>
    <x v="133"/>
    <x v="0"/>
    <x v="0"/>
    <x v="0"/>
    <x v="0"/>
  </r>
  <r>
    <x v="83"/>
    <x v="57"/>
    <x v="67"/>
    <x v="6"/>
    <x v="0"/>
    <x v="43"/>
    <x v="45"/>
    <x v="0"/>
    <x v="6"/>
    <x v="134"/>
    <x v="0"/>
    <x v="1"/>
    <x v="0"/>
    <x v="9"/>
  </r>
  <r>
    <x v="83"/>
    <x v="57"/>
    <x v="67"/>
    <x v="3"/>
    <x v="0"/>
    <x v="13"/>
    <x v="12"/>
    <x v="0"/>
    <x v="7"/>
    <x v="135"/>
    <x v="0"/>
    <x v="1"/>
    <x v="0"/>
    <x v="0"/>
  </r>
  <r>
    <x v="83"/>
    <x v="57"/>
    <x v="67"/>
    <x v="4"/>
    <x v="0"/>
    <x v="44"/>
    <x v="46"/>
    <x v="0"/>
    <x v="8"/>
    <x v="136"/>
    <x v="0"/>
    <x v="1"/>
    <x v="0"/>
    <x v="0"/>
  </r>
  <r>
    <x v="83"/>
    <x v="57"/>
    <x v="67"/>
    <x v="0"/>
    <x v="0"/>
    <x v="24"/>
    <x v="23"/>
    <x v="0"/>
    <x v="5"/>
    <x v="137"/>
    <x v="0"/>
    <x v="1"/>
    <x v="0"/>
    <x v="0"/>
  </r>
  <r>
    <x v="84"/>
    <x v="57"/>
    <x v="68"/>
    <x v="0"/>
    <x v="0"/>
    <x v="6"/>
    <x v="6"/>
    <x v="0"/>
    <x v="0"/>
    <x v="9"/>
    <x v="0"/>
    <x v="0"/>
    <x v="0"/>
    <x v="0"/>
  </r>
  <r>
    <x v="84"/>
    <x v="57"/>
    <x v="68"/>
    <x v="5"/>
    <x v="0"/>
    <x v="6"/>
    <x v="6"/>
    <x v="0"/>
    <x v="3"/>
    <x v="31"/>
    <x v="0"/>
    <x v="0"/>
    <x v="0"/>
    <x v="0"/>
  </r>
  <r>
    <x v="84"/>
    <x v="57"/>
    <x v="68"/>
    <x v="2"/>
    <x v="0"/>
    <x v="6"/>
    <x v="6"/>
    <x v="0"/>
    <x v="0"/>
    <x v="9"/>
    <x v="0"/>
    <x v="0"/>
    <x v="0"/>
    <x v="0"/>
  </r>
  <r>
    <x v="84"/>
    <x v="57"/>
    <x v="68"/>
    <x v="3"/>
    <x v="0"/>
    <x v="6"/>
    <x v="6"/>
    <x v="0"/>
    <x v="3"/>
    <x v="31"/>
    <x v="0"/>
    <x v="0"/>
    <x v="0"/>
    <x v="0"/>
  </r>
  <r>
    <x v="84"/>
    <x v="57"/>
    <x v="68"/>
    <x v="1"/>
    <x v="0"/>
    <x v="14"/>
    <x v="13"/>
    <x v="0"/>
    <x v="1"/>
    <x v="74"/>
    <x v="0"/>
    <x v="0"/>
    <x v="0"/>
    <x v="0"/>
  </r>
  <r>
    <x v="84"/>
    <x v="57"/>
    <x v="68"/>
    <x v="1"/>
    <x v="0"/>
    <x v="14"/>
    <x v="13"/>
    <x v="0"/>
    <x v="1"/>
    <x v="74"/>
    <x v="0"/>
    <x v="0"/>
    <x v="0"/>
    <x v="0"/>
  </r>
  <r>
    <x v="85"/>
    <x v="58"/>
    <x v="69"/>
    <x v="11"/>
    <x v="0"/>
    <x v="2"/>
    <x v="2"/>
    <x v="0"/>
    <x v="34"/>
    <x v="138"/>
    <x v="0"/>
    <x v="0"/>
    <x v="0"/>
    <x v="0"/>
  </r>
  <r>
    <x v="86"/>
    <x v="59"/>
    <x v="70"/>
    <x v="0"/>
    <x v="0"/>
    <x v="4"/>
    <x v="4"/>
    <x v="0"/>
    <x v="35"/>
    <x v="139"/>
    <x v="0"/>
    <x v="0"/>
    <x v="0"/>
    <x v="0"/>
  </r>
  <r>
    <x v="86"/>
    <x v="59"/>
    <x v="70"/>
    <x v="3"/>
    <x v="0"/>
    <x v="1"/>
    <x v="1"/>
    <x v="0"/>
    <x v="36"/>
    <x v="140"/>
    <x v="0"/>
    <x v="0"/>
    <x v="0"/>
    <x v="0"/>
  </r>
  <r>
    <x v="86"/>
    <x v="59"/>
    <x v="70"/>
    <x v="4"/>
    <x v="0"/>
    <x v="9"/>
    <x v="9"/>
    <x v="0"/>
    <x v="16"/>
    <x v="51"/>
    <x v="0"/>
    <x v="0"/>
    <x v="0"/>
    <x v="0"/>
  </r>
  <r>
    <x v="73"/>
    <x v="59"/>
    <x v="63"/>
    <x v="0"/>
    <x v="0"/>
    <x v="14"/>
    <x v="13"/>
    <x v="0"/>
    <x v="35"/>
    <x v="141"/>
    <x v="0"/>
    <x v="0"/>
    <x v="0"/>
    <x v="0"/>
  </r>
  <r>
    <x v="87"/>
    <x v="59"/>
    <x v="71"/>
    <x v="2"/>
    <x v="0"/>
    <x v="2"/>
    <x v="2"/>
    <x v="0"/>
    <x v="35"/>
    <x v="142"/>
    <x v="0"/>
    <x v="0"/>
    <x v="0"/>
    <x v="0"/>
  </r>
  <r>
    <x v="87"/>
    <x v="59"/>
    <x v="71"/>
    <x v="3"/>
    <x v="0"/>
    <x v="2"/>
    <x v="2"/>
    <x v="0"/>
    <x v="36"/>
    <x v="143"/>
    <x v="0"/>
    <x v="0"/>
    <x v="0"/>
    <x v="0"/>
  </r>
  <r>
    <x v="87"/>
    <x v="59"/>
    <x v="71"/>
    <x v="4"/>
    <x v="0"/>
    <x v="2"/>
    <x v="2"/>
    <x v="0"/>
    <x v="16"/>
    <x v="144"/>
    <x v="0"/>
    <x v="0"/>
    <x v="0"/>
    <x v="0"/>
  </r>
  <r>
    <x v="87"/>
    <x v="59"/>
    <x v="71"/>
    <x v="1"/>
    <x v="0"/>
    <x v="2"/>
    <x v="2"/>
    <x v="0"/>
    <x v="37"/>
    <x v="145"/>
    <x v="0"/>
    <x v="0"/>
    <x v="0"/>
    <x v="0"/>
  </r>
  <r>
    <x v="87"/>
    <x v="59"/>
    <x v="71"/>
    <x v="0"/>
    <x v="0"/>
    <x v="2"/>
    <x v="2"/>
    <x v="0"/>
    <x v="35"/>
    <x v="142"/>
    <x v="0"/>
    <x v="0"/>
    <x v="0"/>
    <x v="0"/>
  </r>
  <r>
    <x v="87"/>
    <x v="59"/>
    <x v="71"/>
    <x v="5"/>
    <x v="0"/>
    <x v="2"/>
    <x v="2"/>
    <x v="0"/>
    <x v="36"/>
    <x v="143"/>
    <x v="0"/>
    <x v="0"/>
    <x v="0"/>
    <x v="0"/>
  </r>
  <r>
    <x v="88"/>
    <x v="59"/>
    <x v="72"/>
    <x v="2"/>
    <x v="0"/>
    <x v="18"/>
    <x v="17"/>
    <x v="0"/>
    <x v="35"/>
    <x v="146"/>
    <x v="0"/>
    <x v="0"/>
    <x v="0"/>
    <x v="0"/>
  </r>
  <r>
    <x v="88"/>
    <x v="59"/>
    <x v="72"/>
    <x v="3"/>
    <x v="0"/>
    <x v="18"/>
    <x v="17"/>
    <x v="0"/>
    <x v="36"/>
    <x v="147"/>
    <x v="0"/>
    <x v="0"/>
    <x v="0"/>
    <x v="0"/>
  </r>
  <r>
    <x v="88"/>
    <x v="59"/>
    <x v="72"/>
    <x v="4"/>
    <x v="0"/>
    <x v="18"/>
    <x v="17"/>
    <x v="0"/>
    <x v="16"/>
    <x v="43"/>
    <x v="0"/>
    <x v="0"/>
    <x v="0"/>
    <x v="0"/>
  </r>
  <r>
    <x v="89"/>
    <x v="59"/>
    <x v="73"/>
    <x v="8"/>
    <x v="0"/>
    <x v="3"/>
    <x v="3"/>
    <x v="0"/>
    <x v="38"/>
    <x v="148"/>
    <x v="0"/>
    <x v="0"/>
    <x v="0"/>
    <x v="0"/>
  </r>
  <r>
    <x v="89"/>
    <x v="59"/>
    <x v="73"/>
    <x v="5"/>
    <x v="0"/>
    <x v="3"/>
    <x v="3"/>
    <x v="0"/>
    <x v="36"/>
    <x v="149"/>
    <x v="0"/>
    <x v="0"/>
    <x v="0"/>
    <x v="0"/>
  </r>
  <r>
    <x v="90"/>
    <x v="59"/>
    <x v="74"/>
    <x v="5"/>
    <x v="0"/>
    <x v="2"/>
    <x v="2"/>
    <x v="0"/>
    <x v="36"/>
    <x v="143"/>
    <x v="0"/>
    <x v="0"/>
    <x v="0"/>
    <x v="0"/>
  </r>
  <r>
    <x v="91"/>
    <x v="60"/>
    <x v="7"/>
    <x v="0"/>
    <x v="0"/>
    <x v="1"/>
    <x v="1"/>
    <x v="0"/>
    <x v="18"/>
    <x v="72"/>
    <x v="0"/>
    <x v="0"/>
    <x v="0"/>
    <x v="8"/>
  </r>
  <r>
    <x v="92"/>
    <x v="60"/>
    <x v="33"/>
    <x v="5"/>
    <x v="0"/>
    <x v="25"/>
    <x v="24"/>
    <x v="0"/>
    <x v="19"/>
    <x v="109"/>
    <x v="0"/>
    <x v="0"/>
    <x v="0"/>
    <x v="0"/>
  </r>
  <r>
    <x v="93"/>
    <x v="60"/>
    <x v="7"/>
    <x v="5"/>
    <x v="0"/>
    <x v="25"/>
    <x v="24"/>
    <x v="0"/>
    <x v="19"/>
    <x v="109"/>
    <x v="0"/>
    <x v="0"/>
    <x v="0"/>
    <x v="8"/>
  </r>
  <r>
    <x v="93"/>
    <x v="60"/>
    <x v="7"/>
    <x v="3"/>
    <x v="0"/>
    <x v="24"/>
    <x v="23"/>
    <x v="0"/>
    <x v="19"/>
    <x v="78"/>
    <x v="0"/>
    <x v="0"/>
    <x v="0"/>
    <x v="8"/>
  </r>
  <r>
    <x v="94"/>
    <x v="61"/>
    <x v="40"/>
    <x v="1"/>
    <x v="0"/>
    <x v="2"/>
    <x v="2"/>
    <x v="0"/>
    <x v="32"/>
    <x v="118"/>
    <x v="0"/>
    <x v="0"/>
    <x v="0"/>
    <x v="0"/>
  </r>
  <r>
    <x v="94"/>
    <x v="61"/>
    <x v="40"/>
    <x v="0"/>
    <x v="0"/>
    <x v="2"/>
    <x v="2"/>
    <x v="0"/>
    <x v="12"/>
    <x v="119"/>
    <x v="0"/>
    <x v="0"/>
    <x v="0"/>
    <x v="0"/>
  </r>
  <r>
    <x v="94"/>
    <x v="61"/>
    <x v="40"/>
    <x v="0"/>
    <x v="0"/>
    <x v="2"/>
    <x v="2"/>
    <x v="0"/>
    <x v="12"/>
    <x v="119"/>
    <x v="0"/>
    <x v="0"/>
    <x v="0"/>
    <x v="0"/>
  </r>
  <r>
    <x v="94"/>
    <x v="61"/>
    <x v="40"/>
    <x v="0"/>
    <x v="0"/>
    <x v="2"/>
    <x v="2"/>
    <x v="0"/>
    <x v="12"/>
    <x v="119"/>
    <x v="0"/>
    <x v="0"/>
    <x v="0"/>
    <x v="0"/>
  </r>
  <r>
    <x v="84"/>
    <x v="62"/>
    <x v="68"/>
    <x v="4"/>
    <x v="0"/>
    <x v="6"/>
    <x v="6"/>
    <x v="0"/>
    <x v="16"/>
    <x v="95"/>
    <x v="0"/>
    <x v="0"/>
    <x v="0"/>
    <x v="0"/>
  </r>
  <r>
    <x v="95"/>
    <x v="62"/>
    <x v="7"/>
    <x v="0"/>
    <x v="0"/>
    <x v="9"/>
    <x v="9"/>
    <x v="0"/>
    <x v="18"/>
    <x v="104"/>
    <x v="0"/>
    <x v="0"/>
    <x v="0"/>
    <x v="8"/>
  </r>
  <r>
    <x v="96"/>
    <x v="62"/>
    <x v="66"/>
    <x v="0"/>
    <x v="0"/>
    <x v="2"/>
    <x v="2"/>
    <x v="0"/>
    <x v="35"/>
    <x v="142"/>
    <x v="0"/>
    <x v="0"/>
    <x v="0"/>
    <x v="0"/>
  </r>
  <r>
    <x v="96"/>
    <x v="62"/>
    <x v="66"/>
    <x v="1"/>
    <x v="0"/>
    <x v="2"/>
    <x v="2"/>
    <x v="0"/>
    <x v="37"/>
    <x v="145"/>
    <x v="0"/>
    <x v="0"/>
    <x v="0"/>
    <x v="0"/>
  </r>
  <r>
    <x v="96"/>
    <x v="62"/>
    <x v="66"/>
    <x v="5"/>
    <x v="0"/>
    <x v="2"/>
    <x v="2"/>
    <x v="0"/>
    <x v="36"/>
    <x v="143"/>
    <x v="0"/>
    <x v="0"/>
    <x v="0"/>
    <x v="0"/>
  </r>
  <r>
    <x v="97"/>
    <x v="62"/>
    <x v="56"/>
    <x v="10"/>
    <x v="0"/>
    <x v="7"/>
    <x v="7"/>
    <x v="0"/>
    <x v="12"/>
    <x v="90"/>
    <x v="0"/>
    <x v="0"/>
    <x v="0"/>
    <x v="0"/>
  </r>
  <r>
    <x v="98"/>
    <x v="62"/>
    <x v="7"/>
    <x v="0"/>
    <x v="0"/>
    <x v="3"/>
    <x v="3"/>
    <x v="0"/>
    <x v="18"/>
    <x v="150"/>
    <x v="0"/>
    <x v="0"/>
    <x v="0"/>
    <x v="8"/>
  </r>
  <r>
    <x v="99"/>
    <x v="62"/>
    <x v="40"/>
    <x v="0"/>
    <x v="0"/>
    <x v="3"/>
    <x v="3"/>
    <x v="0"/>
    <x v="12"/>
    <x v="83"/>
    <x v="0"/>
    <x v="0"/>
    <x v="1"/>
    <x v="10"/>
  </r>
  <r>
    <x v="100"/>
    <x v="63"/>
    <x v="75"/>
    <x v="8"/>
    <x v="0"/>
    <x v="7"/>
    <x v="7"/>
    <x v="0"/>
    <x v="15"/>
    <x v="32"/>
    <x v="0"/>
    <x v="0"/>
    <x v="0"/>
    <x v="0"/>
  </r>
  <r>
    <x v="101"/>
    <x v="63"/>
    <x v="76"/>
    <x v="5"/>
    <x v="0"/>
    <x v="3"/>
    <x v="3"/>
    <x v="0"/>
    <x v="19"/>
    <x v="66"/>
    <x v="0"/>
    <x v="0"/>
    <x v="0"/>
    <x v="0"/>
  </r>
  <r>
    <x v="101"/>
    <x v="63"/>
    <x v="76"/>
    <x v="8"/>
    <x v="0"/>
    <x v="3"/>
    <x v="3"/>
    <x v="0"/>
    <x v="4"/>
    <x v="6"/>
    <x v="0"/>
    <x v="0"/>
    <x v="0"/>
    <x v="0"/>
  </r>
  <r>
    <x v="101"/>
    <x v="63"/>
    <x v="76"/>
    <x v="5"/>
    <x v="0"/>
    <x v="9"/>
    <x v="9"/>
    <x v="0"/>
    <x v="19"/>
    <x v="106"/>
    <x v="0"/>
    <x v="0"/>
    <x v="0"/>
    <x v="0"/>
  </r>
  <r>
    <x v="101"/>
    <x v="63"/>
    <x v="33"/>
    <x v="3"/>
    <x v="0"/>
    <x v="25"/>
    <x v="24"/>
    <x v="0"/>
    <x v="19"/>
    <x v="109"/>
    <x v="0"/>
    <x v="0"/>
    <x v="0"/>
    <x v="0"/>
  </r>
  <r>
    <x v="102"/>
    <x v="64"/>
    <x v="77"/>
    <x v="14"/>
    <x v="3"/>
    <x v="2"/>
    <x v="47"/>
    <x v="0"/>
    <x v="28"/>
    <x v="151"/>
    <x v="0"/>
    <x v="0"/>
    <x v="0"/>
    <x v="0"/>
  </r>
  <r>
    <x v="103"/>
    <x v="64"/>
    <x v="78"/>
    <x v="10"/>
    <x v="0"/>
    <x v="24"/>
    <x v="23"/>
    <x v="0"/>
    <x v="12"/>
    <x v="152"/>
    <x v="0"/>
    <x v="0"/>
    <x v="0"/>
    <x v="0"/>
  </r>
  <r>
    <x v="81"/>
    <x v="64"/>
    <x v="13"/>
    <x v="5"/>
    <x v="0"/>
    <x v="7"/>
    <x v="7"/>
    <x v="0"/>
    <x v="36"/>
    <x v="114"/>
    <x v="0"/>
    <x v="0"/>
    <x v="0"/>
    <x v="0"/>
  </r>
  <r>
    <x v="16"/>
    <x v="64"/>
    <x v="79"/>
    <x v="5"/>
    <x v="0"/>
    <x v="7"/>
    <x v="7"/>
    <x v="0"/>
    <x v="36"/>
    <x v="114"/>
    <x v="0"/>
    <x v="0"/>
    <x v="0"/>
    <x v="0"/>
  </r>
  <r>
    <x v="104"/>
    <x v="64"/>
    <x v="80"/>
    <x v="3"/>
    <x v="0"/>
    <x v="3"/>
    <x v="3"/>
    <x v="0"/>
    <x v="36"/>
    <x v="149"/>
    <x v="0"/>
    <x v="0"/>
    <x v="0"/>
    <x v="0"/>
  </r>
  <r>
    <x v="104"/>
    <x v="64"/>
    <x v="80"/>
    <x v="1"/>
    <x v="0"/>
    <x v="3"/>
    <x v="3"/>
    <x v="0"/>
    <x v="37"/>
    <x v="153"/>
    <x v="0"/>
    <x v="0"/>
    <x v="0"/>
    <x v="0"/>
  </r>
  <r>
    <x v="104"/>
    <x v="64"/>
    <x v="80"/>
    <x v="0"/>
    <x v="0"/>
    <x v="3"/>
    <x v="3"/>
    <x v="0"/>
    <x v="35"/>
    <x v="154"/>
    <x v="0"/>
    <x v="0"/>
    <x v="0"/>
    <x v="0"/>
  </r>
  <r>
    <x v="89"/>
    <x v="64"/>
    <x v="81"/>
    <x v="1"/>
    <x v="0"/>
    <x v="9"/>
    <x v="9"/>
    <x v="0"/>
    <x v="37"/>
    <x v="155"/>
    <x v="0"/>
    <x v="0"/>
    <x v="0"/>
    <x v="0"/>
  </r>
  <r>
    <x v="105"/>
    <x v="64"/>
    <x v="81"/>
    <x v="0"/>
    <x v="0"/>
    <x v="1"/>
    <x v="1"/>
    <x v="0"/>
    <x v="35"/>
    <x v="156"/>
    <x v="0"/>
    <x v="0"/>
    <x v="0"/>
    <x v="0"/>
  </r>
  <r>
    <x v="105"/>
    <x v="64"/>
    <x v="81"/>
    <x v="5"/>
    <x v="0"/>
    <x v="32"/>
    <x v="32"/>
    <x v="0"/>
    <x v="36"/>
    <x v="157"/>
    <x v="0"/>
    <x v="0"/>
    <x v="0"/>
    <x v="0"/>
  </r>
  <r>
    <x v="106"/>
    <x v="64"/>
    <x v="7"/>
    <x v="5"/>
    <x v="0"/>
    <x v="1"/>
    <x v="1"/>
    <x v="0"/>
    <x v="19"/>
    <x v="67"/>
    <x v="0"/>
    <x v="0"/>
    <x v="0"/>
    <x v="8"/>
  </r>
  <r>
    <x v="107"/>
    <x v="65"/>
    <x v="82"/>
    <x v="0"/>
    <x v="0"/>
    <x v="31"/>
    <x v="31"/>
    <x v="0"/>
    <x v="39"/>
    <x v="158"/>
    <x v="0"/>
    <x v="0"/>
    <x v="0"/>
    <x v="0"/>
  </r>
  <r>
    <x v="107"/>
    <x v="65"/>
    <x v="82"/>
    <x v="1"/>
    <x v="0"/>
    <x v="31"/>
    <x v="31"/>
    <x v="0"/>
    <x v="22"/>
    <x v="159"/>
    <x v="0"/>
    <x v="0"/>
    <x v="0"/>
    <x v="0"/>
  </r>
  <r>
    <x v="108"/>
    <x v="66"/>
    <x v="83"/>
    <x v="0"/>
    <x v="0"/>
    <x v="7"/>
    <x v="7"/>
    <x v="0"/>
    <x v="35"/>
    <x v="160"/>
    <x v="0"/>
    <x v="0"/>
    <x v="0"/>
    <x v="0"/>
  </r>
  <r>
    <x v="109"/>
    <x v="66"/>
    <x v="16"/>
    <x v="0"/>
    <x v="0"/>
    <x v="13"/>
    <x v="12"/>
    <x v="0"/>
    <x v="35"/>
    <x v="161"/>
    <x v="0"/>
    <x v="0"/>
    <x v="0"/>
    <x v="0"/>
  </r>
  <r>
    <x v="109"/>
    <x v="66"/>
    <x v="16"/>
    <x v="5"/>
    <x v="0"/>
    <x v="14"/>
    <x v="13"/>
    <x v="0"/>
    <x v="36"/>
    <x v="162"/>
    <x v="0"/>
    <x v="0"/>
    <x v="0"/>
    <x v="0"/>
  </r>
  <r>
    <x v="110"/>
    <x v="67"/>
    <x v="84"/>
    <x v="0"/>
    <x v="0"/>
    <x v="14"/>
    <x v="13"/>
    <x v="0"/>
    <x v="35"/>
    <x v="141"/>
    <x v="0"/>
    <x v="0"/>
    <x v="0"/>
    <x v="0"/>
  </r>
  <r>
    <x v="111"/>
    <x v="67"/>
    <x v="85"/>
    <x v="0"/>
    <x v="0"/>
    <x v="9"/>
    <x v="9"/>
    <x v="0"/>
    <x v="35"/>
    <x v="163"/>
    <x v="0"/>
    <x v="0"/>
    <x v="0"/>
    <x v="0"/>
  </r>
  <r>
    <x v="112"/>
    <x v="67"/>
    <x v="86"/>
    <x v="0"/>
    <x v="0"/>
    <x v="9"/>
    <x v="9"/>
    <x v="0"/>
    <x v="35"/>
    <x v="163"/>
    <x v="0"/>
    <x v="0"/>
    <x v="0"/>
    <x v="0"/>
  </r>
  <r>
    <x v="113"/>
    <x v="67"/>
    <x v="87"/>
    <x v="0"/>
    <x v="0"/>
    <x v="14"/>
    <x v="13"/>
    <x v="0"/>
    <x v="35"/>
    <x v="141"/>
    <x v="0"/>
    <x v="0"/>
    <x v="0"/>
    <x v="0"/>
  </r>
  <r>
    <x v="114"/>
    <x v="67"/>
    <x v="17"/>
    <x v="5"/>
    <x v="0"/>
    <x v="7"/>
    <x v="7"/>
    <x v="0"/>
    <x v="4"/>
    <x v="73"/>
    <x v="0"/>
    <x v="0"/>
    <x v="1"/>
    <x v="0"/>
  </r>
  <r>
    <x v="115"/>
    <x v="67"/>
    <x v="88"/>
    <x v="8"/>
    <x v="0"/>
    <x v="9"/>
    <x v="9"/>
    <x v="0"/>
    <x v="38"/>
    <x v="164"/>
    <x v="0"/>
    <x v="0"/>
    <x v="0"/>
    <x v="0"/>
  </r>
  <r>
    <x v="115"/>
    <x v="67"/>
    <x v="88"/>
    <x v="5"/>
    <x v="0"/>
    <x v="9"/>
    <x v="9"/>
    <x v="0"/>
    <x v="36"/>
    <x v="165"/>
    <x v="0"/>
    <x v="0"/>
    <x v="0"/>
    <x v="0"/>
  </r>
  <r>
    <x v="116"/>
    <x v="67"/>
    <x v="16"/>
    <x v="1"/>
    <x v="0"/>
    <x v="45"/>
    <x v="48"/>
    <x v="0"/>
    <x v="37"/>
    <x v="166"/>
    <x v="0"/>
    <x v="0"/>
    <x v="0"/>
    <x v="0"/>
  </r>
  <r>
    <x v="117"/>
    <x v="68"/>
    <x v="89"/>
    <x v="0"/>
    <x v="0"/>
    <x v="7"/>
    <x v="7"/>
    <x v="0"/>
    <x v="11"/>
    <x v="167"/>
    <x v="0"/>
    <x v="1"/>
    <x v="0"/>
    <x v="0"/>
  </r>
  <r>
    <x v="80"/>
    <x v="68"/>
    <x v="7"/>
    <x v="0"/>
    <x v="0"/>
    <x v="35"/>
    <x v="36"/>
    <x v="0"/>
    <x v="18"/>
    <x v="21"/>
    <x v="0"/>
    <x v="0"/>
    <x v="0"/>
    <x v="6"/>
  </r>
  <r>
    <x v="118"/>
    <x v="68"/>
    <x v="7"/>
    <x v="4"/>
    <x v="0"/>
    <x v="1"/>
    <x v="1"/>
    <x v="0"/>
    <x v="15"/>
    <x v="63"/>
    <x v="0"/>
    <x v="0"/>
    <x v="0"/>
    <x v="8"/>
  </r>
  <r>
    <x v="119"/>
    <x v="69"/>
    <x v="17"/>
    <x v="1"/>
    <x v="0"/>
    <x v="7"/>
    <x v="7"/>
    <x v="0"/>
    <x v="24"/>
    <x v="85"/>
    <x v="0"/>
    <x v="0"/>
    <x v="1"/>
    <x v="0"/>
  </r>
  <r>
    <x v="119"/>
    <x v="69"/>
    <x v="17"/>
    <x v="0"/>
    <x v="0"/>
    <x v="7"/>
    <x v="7"/>
    <x v="0"/>
    <x v="25"/>
    <x v="86"/>
    <x v="0"/>
    <x v="0"/>
    <x v="1"/>
    <x v="0"/>
  </r>
  <r>
    <x v="119"/>
    <x v="69"/>
    <x v="17"/>
    <x v="5"/>
    <x v="0"/>
    <x v="7"/>
    <x v="7"/>
    <x v="0"/>
    <x v="4"/>
    <x v="73"/>
    <x v="0"/>
    <x v="0"/>
    <x v="1"/>
    <x v="0"/>
  </r>
  <r>
    <x v="119"/>
    <x v="69"/>
    <x v="17"/>
    <x v="7"/>
    <x v="0"/>
    <x v="7"/>
    <x v="7"/>
    <x v="0"/>
    <x v="16"/>
    <x v="87"/>
    <x v="0"/>
    <x v="0"/>
    <x v="1"/>
    <x v="0"/>
  </r>
  <r>
    <x v="120"/>
    <x v="70"/>
    <x v="90"/>
    <x v="0"/>
    <x v="0"/>
    <x v="21"/>
    <x v="20"/>
    <x v="0"/>
    <x v="35"/>
    <x v="168"/>
    <x v="0"/>
    <x v="0"/>
    <x v="0"/>
    <x v="0"/>
  </r>
  <r>
    <x v="120"/>
    <x v="70"/>
    <x v="90"/>
    <x v="0"/>
    <x v="0"/>
    <x v="9"/>
    <x v="9"/>
    <x v="0"/>
    <x v="35"/>
    <x v="163"/>
    <x v="0"/>
    <x v="0"/>
    <x v="0"/>
    <x v="0"/>
  </r>
  <r>
    <x v="121"/>
    <x v="70"/>
    <x v="91"/>
    <x v="3"/>
    <x v="0"/>
    <x v="12"/>
    <x v="11"/>
    <x v="0"/>
    <x v="3"/>
    <x v="23"/>
    <x v="0"/>
    <x v="0"/>
    <x v="0"/>
    <x v="0"/>
  </r>
  <r>
    <x v="122"/>
    <x v="70"/>
    <x v="92"/>
    <x v="10"/>
    <x v="0"/>
    <x v="25"/>
    <x v="24"/>
    <x v="0"/>
    <x v="12"/>
    <x v="169"/>
    <x v="0"/>
    <x v="0"/>
    <x v="0"/>
    <x v="0"/>
  </r>
  <r>
    <x v="123"/>
    <x v="70"/>
    <x v="79"/>
    <x v="5"/>
    <x v="0"/>
    <x v="1"/>
    <x v="1"/>
    <x v="0"/>
    <x v="36"/>
    <x v="140"/>
    <x v="0"/>
    <x v="0"/>
    <x v="0"/>
    <x v="0"/>
  </r>
  <r>
    <x v="124"/>
    <x v="70"/>
    <x v="93"/>
    <x v="7"/>
    <x v="0"/>
    <x v="1"/>
    <x v="1"/>
    <x v="0"/>
    <x v="3"/>
    <x v="4"/>
    <x v="0"/>
    <x v="0"/>
    <x v="0"/>
    <x v="0"/>
  </r>
  <r>
    <x v="124"/>
    <x v="70"/>
    <x v="93"/>
    <x v="13"/>
    <x v="0"/>
    <x v="1"/>
    <x v="1"/>
    <x v="0"/>
    <x v="4"/>
    <x v="10"/>
    <x v="0"/>
    <x v="0"/>
    <x v="0"/>
    <x v="0"/>
  </r>
  <r>
    <x v="125"/>
    <x v="70"/>
    <x v="15"/>
    <x v="5"/>
    <x v="2"/>
    <x v="29"/>
    <x v="49"/>
    <x v="0"/>
    <x v="11"/>
    <x v="170"/>
    <x v="0"/>
    <x v="0"/>
    <x v="0"/>
    <x v="0"/>
  </r>
  <r>
    <x v="126"/>
    <x v="70"/>
    <x v="94"/>
    <x v="1"/>
    <x v="0"/>
    <x v="2"/>
    <x v="2"/>
    <x v="0"/>
    <x v="32"/>
    <x v="118"/>
    <x v="0"/>
    <x v="0"/>
    <x v="0"/>
    <x v="11"/>
  </r>
  <r>
    <x v="126"/>
    <x v="70"/>
    <x v="94"/>
    <x v="0"/>
    <x v="0"/>
    <x v="2"/>
    <x v="2"/>
    <x v="0"/>
    <x v="12"/>
    <x v="119"/>
    <x v="0"/>
    <x v="0"/>
    <x v="0"/>
    <x v="11"/>
  </r>
  <r>
    <x v="126"/>
    <x v="70"/>
    <x v="94"/>
    <x v="5"/>
    <x v="0"/>
    <x v="2"/>
    <x v="2"/>
    <x v="0"/>
    <x v="13"/>
    <x v="171"/>
    <x v="0"/>
    <x v="0"/>
    <x v="0"/>
    <x v="11"/>
  </r>
  <r>
    <x v="126"/>
    <x v="70"/>
    <x v="94"/>
    <x v="8"/>
    <x v="0"/>
    <x v="2"/>
    <x v="2"/>
    <x v="0"/>
    <x v="15"/>
    <x v="62"/>
    <x v="0"/>
    <x v="0"/>
    <x v="0"/>
    <x v="11"/>
  </r>
  <r>
    <x v="126"/>
    <x v="70"/>
    <x v="94"/>
    <x v="3"/>
    <x v="0"/>
    <x v="2"/>
    <x v="2"/>
    <x v="0"/>
    <x v="13"/>
    <x v="171"/>
    <x v="0"/>
    <x v="0"/>
    <x v="0"/>
    <x v="11"/>
  </r>
  <r>
    <x v="126"/>
    <x v="70"/>
    <x v="94"/>
    <x v="4"/>
    <x v="0"/>
    <x v="2"/>
    <x v="2"/>
    <x v="0"/>
    <x v="40"/>
    <x v="172"/>
    <x v="0"/>
    <x v="0"/>
    <x v="0"/>
    <x v="11"/>
  </r>
  <r>
    <x v="127"/>
    <x v="70"/>
    <x v="94"/>
    <x v="7"/>
    <x v="0"/>
    <x v="2"/>
    <x v="2"/>
    <x v="0"/>
    <x v="13"/>
    <x v="171"/>
    <x v="0"/>
    <x v="0"/>
    <x v="0"/>
    <x v="11"/>
  </r>
  <r>
    <x v="127"/>
    <x v="70"/>
    <x v="94"/>
    <x v="13"/>
    <x v="0"/>
    <x v="2"/>
    <x v="2"/>
    <x v="0"/>
    <x v="40"/>
    <x v="172"/>
    <x v="0"/>
    <x v="0"/>
    <x v="0"/>
    <x v="11"/>
  </r>
  <r>
    <x v="128"/>
    <x v="71"/>
    <x v="51"/>
    <x v="9"/>
    <x v="0"/>
    <x v="35"/>
    <x v="36"/>
    <x v="0"/>
    <x v="0"/>
    <x v="107"/>
    <x v="0"/>
    <x v="0"/>
    <x v="0"/>
    <x v="0"/>
  </r>
  <r>
    <x v="128"/>
    <x v="71"/>
    <x v="51"/>
    <x v="7"/>
    <x v="0"/>
    <x v="9"/>
    <x v="9"/>
    <x v="0"/>
    <x v="36"/>
    <x v="165"/>
    <x v="0"/>
    <x v="0"/>
    <x v="0"/>
    <x v="0"/>
  </r>
  <r>
    <x v="128"/>
    <x v="71"/>
    <x v="51"/>
    <x v="0"/>
    <x v="0"/>
    <x v="46"/>
    <x v="50"/>
    <x v="0"/>
    <x v="35"/>
    <x v="173"/>
    <x v="0"/>
    <x v="0"/>
    <x v="0"/>
    <x v="0"/>
  </r>
  <r>
    <x v="129"/>
    <x v="71"/>
    <x v="95"/>
    <x v="0"/>
    <x v="0"/>
    <x v="13"/>
    <x v="12"/>
    <x v="0"/>
    <x v="35"/>
    <x v="161"/>
    <x v="0"/>
    <x v="0"/>
    <x v="0"/>
    <x v="0"/>
  </r>
  <r>
    <x v="130"/>
    <x v="71"/>
    <x v="7"/>
    <x v="3"/>
    <x v="0"/>
    <x v="3"/>
    <x v="3"/>
    <x v="0"/>
    <x v="19"/>
    <x v="66"/>
    <x v="0"/>
    <x v="0"/>
    <x v="0"/>
    <x v="8"/>
  </r>
  <r>
    <x v="130"/>
    <x v="71"/>
    <x v="7"/>
    <x v="4"/>
    <x v="0"/>
    <x v="3"/>
    <x v="3"/>
    <x v="0"/>
    <x v="15"/>
    <x v="19"/>
    <x v="0"/>
    <x v="0"/>
    <x v="0"/>
    <x v="8"/>
  </r>
  <r>
    <x v="130"/>
    <x v="71"/>
    <x v="7"/>
    <x v="0"/>
    <x v="0"/>
    <x v="3"/>
    <x v="3"/>
    <x v="0"/>
    <x v="18"/>
    <x v="150"/>
    <x v="0"/>
    <x v="0"/>
    <x v="0"/>
    <x v="8"/>
  </r>
  <r>
    <x v="130"/>
    <x v="71"/>
    <x v="7"/>
    <x v="3"/>
    <x v="0"/>
    <x v="18"/>
    <x v="17"/>
    <x v="0"/>
    <x v="19"/>
    <x v="174"/>
    <x v="0"/>
    <x v="0"/>
    <x v="0"/>
    <x v="8"/>
  </r>
  <r>
    <x v="131"/>
    <x v="72"/>
    <x v="16"/>
    <x v="0"/>
    <x v="0"/>
    <x v="6"/>
    <x v="6"/>
    <x v="0"/>
    <x v="35"/>
    <x v="175"/>
    <x v="0"/>
    <x v="0"/>
    <x v="0"/>
    <x v="0"/>
  </r>
  <r>
    <x v="131"/>
    <x v="72"/>
    <x v="16"/>
    <x v="5"/>
    <x v="0"/>
    <x v="6"/>
    <x v="6"/>
    <x v="0"/>
    <x v="36"/>
    <x v="176"/>
    <x v="0"/>
    <x v="0"/>
    <x v="0"/>
    <x v="0"/>
  </r>
  <r>
    <x v="132"/>
    <x v="73"/>
    <x v="96"/>
    <x v="1"/>
    <x v="0"/>
    <x v="3"/>
    <x v="3"/>
    <x v="0"/>
    <x v="37"/>
    <x v="153"/>
    <x v="0"/>
    <x v="0"/>
    <x v="0"/>
    <x v="0"/>
  </r>
  <r>
    <x v="132"/>
    <x v="73"/>
    <x v="96"/>
    <x v="0"/>
    <x v="0"/>
    <x v="3"/>
    <x v="3"/>
    <x v="0"/>
    <x v="35"/>
    <x v="154"/>
    <x v="0"/>
    <x v="0"/>
    <x v="0"/>
    <x v="0"/>
  </r>
  <r>
    <x v="133"/>
    <x v="73"/>
    <x v="97"/>
    <x v="1"/>
    <x v="0"/>
    <x v="4"/>
    <x v="4"/>
    <x v="0"/>
    <x v="37"/>
    <x v="177"/>
    <x v="0"/>
    <x v="0"/>
    <x v="0"/>
    <x v="0"/>
  </r>
  <r>
    <x v="108"/>
    <x v="73"/>
    <x v="83"/>
    <x v="3"/>
    <x v="0"/>
    <x v="7"/>
    <x v="7"/>
    <x v="0"/>
    <x v="36"/>
    <x v="114"/>
    <x v="0"/>
    <x v="0"/>
    <x v="0"/>
    <x v="0"/>
  </r>
  <r>
    <x v="134"/>
    <x v="73"/>
    <x v="98"/>
    <x v="0"/>
    <x v="0"/>
    <x v="47"/>
    <x v="51"/>
    <x v="0"/>
    <x v="35"/>
    <x v="178"/>
    <x v="0"/>
    <x v="0"/>
    <x v="0"/>
    <x v="0"/>
  </r>
  <r>
    <x v="135"/>
    <x v="73"/>
    <x v="99"/>
    <x v="1"/>
    <x v="0"/>
    <x v="9"/>
    <x v="9"/>
    <x v="0"/>
    <x v="37"/>
    <x v="155"/>
    <x v="0"/>
    <x v="0"/>
    <x v="0"/>
    <x v="0"/>
  </r>
  <r>
    <x v="135"/>
    <x v="73"/>
    <x v="99"/>
    <x v="5"/>
    <x v="0"/>
    <x v="9"/>
    <x v="9"/>
    <x v="0"/>
    <x v="36"/>
    <x v="165"/>
    <x v="0"/>
    <x v="0"/>
    <x v="0"/>
    <x v="0"/>
  </r>
  <r>
    <x v="114"/>
    <x v="73"/>
    <x v="17"/>
    <x v="1"/>
    <x v="0"/>
    <x v="14"/>
    <x v="13"/>
    <x v="0"/>
    <x v="24"/>
    <x v="179"/>
    <x v="0"/>
    <x v="0"/>
    <x v="1"/>
    <x v="0"/>
  </r>
  <r>
    <x v="114"/>
    <x v="73"/>
    <x v="17"/>
    <x v="0"/>
    <x v="0"/>
    <x v="14"/>
    <x v="13"/>
    <x v="0"/>
    <x v="25"/>
    <x v="180"/>
    <x v="0"/>
    <x v="0"/>
    <x v="1"/>
    <x v="0"/>
  </r>
  <r>
    <x v="114"/>
    <x v="73"/>
    <x v="17"/>
    <x v="5"/>
    <x v="0"/>
    <x v="14"/>
    <x v="13"/>
    <x v="0"/>
    <x v="4"/>
    <x v="50"/>
    <x v="0"/>
    <x v="0"/>
    <x v="1"/>
    <x v="0"/>
  </r>
  <r>
    <x v="114"/>
    <x v="73"/>
    <x v="17"/>
    <x v="7"/>
    <x v="0"/>
    <x v="14"/>
    <x v="13"/>
    <x v="0"/>
    <x v="16"/>
    <x v="65"/>
    <x v="0"/>
    <x v="0"/>
    <x v="1"/>
    <x v="0"/>
  </r>
  <r>
    <x v="136"/>
    <x v="73"/>
    <x v="16"/>
    <x v="1"/>
    <x v="0"/>
    <x v="14"/>
    <x v="13"/>
    <x v="0"/>
    <x v="37"/>
    <x v="181"/>
    <x v="0"/>
    <x v="0"/>
    <x v="0"/>
    <x v="0"/>
  </r>
  <r>
    <x v="137"/>
    <x v="73"/>
    <x v="16"/>
    <x v="4"/>
    <x v="0"/>
    <x v="48"/>
    <x v="52"/>
    <x v="0"/>
    <x v="16"/>
    <x v="182"/>
    <x v="0"/>
    <x v="0"/>
    <x v="0"/>
    <x v="0"/>
  </r>
  <r>
    <x v="138"/>
    <x v="74"/>
    <x v="100"/>
    <x v="0"/>
    <x v="0"/>
    <x v="1"/>
    <x v="1"/>
    <x v="0"/>
    <x v="41"/>
    <x v="183"/>
    <x v="2"/>
    <x v="0"/>
    <x v="0"/>
    <x v="0"/>
  </r>
  <r>
    <x v="139"/>
    <x v="74"/>
    <x v="15"/>
    <x v="5"/>
    <x v="2"/>
    <x v="29"/>
    <x v="53"/>
    <x v="0"/>
    <x v="11"/>
    <x v="184"/>
    <x v="0"/>
    <x v="0"/>
    <x v="0"/>
    <x v="0"/>
  </r>
  <r>
    <x v="140"/>
    <x v="74"/>
    <x v="17"/>
    <x v="0"/>
    <x v="0"/>
    <x v="1"/>
    <x v="1"/>
    <x v="0"/>
    <x v="25"/>
    <x v="185"/>
    <x v="0"/>
    <x v="0"/>
    <x v="1"/>
    <x v="0"/>
  </r>
  <r>
    <x v="140"/>
    <x v="74"/>
    <x v="17"/>
    <x v="7"/>
    <x v="0"/>
    <x v="1"/>
    <x v="1"/>
    <x v="0"/>
    <x v="16"/>
    <x v="96"/>
    <x v="0"/>
    <x v="0"/>
    <x v="1"/>
    <x v="0"/>
  </r>
  <r>
    <x v="141"/>
    <x v="75"/>
    <x v="15"/>
    <x v="1"/>
    <x v="0"/>
    <x v="2"/>
    <x v="2"/>
    <x v="0"/>
    <x v="42"/>
    <x v="186"/>
    <x v="0"/>
    <x v="0"/>
    <x v="0"/>
    <x v="0"/>
  </r>
  <r>
    <x v="141"/>
    <x v="75"/>
    <x v="15"/>
    <x v="0"/>
    <x v="0"/>
    <x v="25"/>
    <x v="24"/>
    <x v="0"/>
    <x v="43"/>
    <x v="187"/>
    <x v="0"/>
    <x v="0"/>
    <x v="0"/>
    <x v="0"/>
  </r>
  <r>
    <x v="141"/>
    <x v="75"/>
    <x v="15"/>
    <x v="6"/>
    <x v="0"/>
    <x v="24"/>
    <x v="23"/>
    <x v="0"/>
    <x v="11"/>
    <x v="188"/>
    <x v="0"/>
    <x v="0"/>
    <x v="0"/>
    <x v="0"/>
  </r>
  <r>
    <x v="123"/>
    <x v="76"/>
    <x v="79"/>
    <x v="2"/>
    <x v="0"/>
    <x v="49"/>
    <x v="54"/>
    <x v="0"/>
    <x v="35"/>
    <x v="189"/>
    <x v="0"/>
    <x v="0"/>
    <x v="0"/>
    <x v="0"/>
  </r>
  <r>
    <x v="142"/>
    <x v="76"/>
    <x v="79"/>
    <x v="16"/>
    <x v="0"/>
    <x v="12"/>
    <x v="11"/>
    <x v="0"/>
    <x v="44"/>
    <x v="190"/>
    <x v="0"/>
    <x v="0"/>
    <x v="0"/>
    <x v="0"/>
  </r>
  <r>
    <x v="143"/>
    <x v="76"/>
    <x v="101"/>
    <x v="0"/>
    <x v="0"/>
    <x v="1"/>
    <x v="1"/>
    <x v="0"/>
    <x v="43"/>
    <x v="191"/>
    <x v="0"/>
    <x v="0"/>
    <x v="0"/>
    <x v="0"/>
  </r>
  <r>
    <x v="144"/>
    <x v="76"/>
    <x v="102"/>
    <x v="10"/>
    <x v="0"/>
    <x v="24"/>
    <x v="23"/>
    <x v="0"/>
    <x v="45"/>
    <x v="192"/>
    <x v="0"/>
    <x v="0"/>
    <x v="0"/>
    <x v="0"/>
  </r>
  <r>
    <x v="145"/>
    <x v="76"/>
    <x v="15"/>
    <x v="4"/>
    <x v="2"/>
    <x v="29"/>
    <x v="55"/>
    <x v="0"/>
    <x v="33"/>
    <x v="193"/>
    <x v="0"/>
    <x v="0"/>
    <x v="0"/>
    <x v="0"/>
  </r>
  <r>
    <x v="146"/>
    <x v="77"/>
    <x v="7"/>
    <x v="0"/>
    <x v="0"/>
    <x v="3"/>
    <x v="3"/>
    <x v="0"/>
    <x v="18"/>
    <x v="150"/>
    <x v="0"/>
    <x v="0"/>
    <x v="0"/>
    <x v="8"/>
  </r>
  <r>
    <x v="146"/>
    <x v="77"/>
    <x v="7"/>
    <x v="1"/>
    <x v="0"/>
    <x v="3"/>
    <x v="3"/>
    <x v="0"/>
    <x v="17"/>
    <x v="117"/>
    <x v="0"/>
    <x v="0"/>
    <x v="0"/>
    <x v="8"/>
  </r>
  <r>
    <x v="146"/>
    <x v="77"/>
    <x v="7"/>
    <x v="3"/>
    <x v="0"/>
    <x v="21"/>
    <x v="20"/>
    <x v="0"/>
    <x v="19"/>
    <x v="54"/>
    <x v="0"/>
    <x v="0"/>
    <x v="0"/>
    <x v="8"/>
  </r>
  <r>
    <x v="147"/>
    <x v="77"/>
    <x v="24"/>
    <x v="5"/>
    <x v="0"/>
    <x v="14"/>
    <x v="13"/>
    <x v="0"/>
    <x v="11"/>
    <x v="55"/>
    <x v="0"/>
    <x v="1"/>
    <x v="0"/>
    <x v="0"/>
  </r>
  <r>
    <x v="148"/>
    <x v="77"/>
    <x v="7"/>
    <x v="0"/>
    <x v="0"/>
    <x v="20"/>
    <x v="19"/>
    <x v="0"/>
    <x v="18"/>
    <x v="194"/>
    <x v="0"/>
    <x v="0"/>
    <x v="0"/>
    <x v="8"/>
  </r>
  <r>
    <x v="148"/>
    <x v="77"/>
    <x v="7"/>
    <x v="0"/>
    <x v="0"/>
    <x v="20"/>
    <x v="19"/>
    <x v="0"/>
    <x v="18"/>
    <x v="194"/>
    <x v="0"/>
    <x v="0"/>
    <x v="0"/>
    <x v="6"/>
  </r>
  <r>
    <x v="149"/>
    <x v="77"/>
    <x v="7"/>
    <x v="3"/>
    <x v="0"/>
    <x v="7"/>
    <x v="7"/>
    <x v="0"/>
    <x v="19"/>
    <x v="60"/>
    <x v="0"/>
    <x v="0"/>
    <x v="0"/>
    <x v="8"/>
  </r>
  <r>
    <x v="150"/>
    <x v="77"/>
    <x v="103"/>
    <x v="5"/>
    <x v="0"/>
    <x v="9"/>
    <x v="9"/>
    <x v="0"/>
    <x v="36"/>
    <x v="165"/>
    <x v="0"/>
    <x v="0"/>
    <x v="0"/>
    <x v="0"/>
  </r>
  <r>
    <x v="150"/>
    <x v="77"/>
    <x v="103"/>
    <x v="13"/>
    <x v="0"/>
    <x v="9"/>
    <x v="9"/>
    <x v="0"/>
    <x v="16"/>
    <x v="51"/>
    <x v="0"/>
    <x v="0"/>
    <x v="0"/>
    <x v="0"/>
  </r>
  <r>
    <x v="151"/>
    <x v="77"/>
    <x v="79"/>
    <x v="2"/>
    <x v="0"/>
    <x v="2"/>
    <x v="2"/>
    <x v="0"/>
    <x v="35"/>
    <x v="142"/>
    <x v="0"/>
    <x v="0"/>
    <x v="0"/>
    <x v="12"/>
  </r>
  <r>
    <x v="152"/>
    <x v="78"/>
    <x v="104"/>
    <x v="0"/>
    <x v="0"/>
    <x v="14"/>
    <x v="13"/>
    <x v="0"/>
    <x v="35"/>
    <x v="141"/>
    <x v="0"/>
    <x v="0"/>
    <x v="0"/>
    <x v="0"/>
  </r>
  <r>
    <x v="153"/>
    <x v="78"/>
    <x v="105"/>
    <x v="16"/>
    <x v="0"/>
    <x v="1"/>
    <x v="1"/>
    <x v="0"/>
    <x v="44"/>
    <x v="195"/>
    <x v="0"/>
    <x v="0"/>
    <x v="0"/>
    <x v="0"/>
  </r>
  <r>
    <x v="153"/>
    <x v="78"/>
    <x v="105"/>
    <x v="2"/>
    <x v="0"/>
    <x v="7"/>
    <x v="7"/>
    <x v="0"/>
    <x v="35"/>
    <x v="160"/>
    <x v="0"/>
    <x v="0"/>
    <x v="0"/>
    <x v="0"/>
  </r>
  <r>
    <x v="154"/>
    <x v="78"/>
    <x v="106"/>
    <x v="5"/>
    <x v="0"/>
    <x v="20"/>
    <x v="19"/>
    <x v="0"/>
    <x v="36"/>
    <x v="196"/>
    <x v="0"/>
    <x v="0"/>
    <x v="0"/>
    <x v="0"/>
  </r>
  <r>
    <x v="155"/>
    <x v="78"/>
    <x v="107"/>
    <x v="2"/>
    <x v="0"/>
    <x v="9"/>
    <x v="9"/>
    <x v="0"/>
    <x v="35"/>
    <x v="163"/>
    <x v="0"/>
    <x v="0"/>
    <x v="0"/>
    <x v="0"/>
  </r>
  <r>
    <x v="155"/>
    <x v="78"/>
    <x v="107"/>
    <x v="3"/>
    <x v="0"/>
    <x v="9"/>
    <x v="9"/>
    <x v="0"/>
    <x v="36"/>
    <x v="165"/>
    <x v="0"/>
    <x v="0"/>
    <x v="0"/>
    <x v="0"/>
  </r>
  <r>
    <x v="155"/>
    <x v="78"/>
    <x v="107"/>
    <x v="4"/>
    <x v="0"/>
    <x v="9"/>
    <x v="9"/>
    <x v="0"/>
    <x v="16"/>
    <x v="51"/>
    <x v="0"/>
    <x v="0"/>
    <x v="0"/>
    <x v="0"/>
  </r>
  <r>
    <x v="156"/>
    <x v="78"/>
    <x v="108"/>
    <x v="3"/>
    <x v="0"/>
    <x v="7"/>
    <x v="7"/>
    <x v="0"/>
    <x v="46"/>
    <x v="197"/>
    <x v="0"/>
    <x v="0"/>
    <x v="0"/>
    <x v="0"/>
  </r>
  <r>
    <x v="157"/>
    <x v="78"/>
    <x v="109"/>
    <x v="0"/>
    <x v="0"/>
    <x v="12"/>
    <x v="11"/>
    <x v="0"/>
    <x v="35"/>
    <x v="198"/>
    <x v="0"/>
    <x v="0"/>
    <x v="0"/>
    <x v="0"/>
  </r>
  <r>
    <x v="157"/>
    <x v="78"/>
    <x v="109"/>
    <x v="5"/>
    <x v="0"/>
    <x v="3"/>
    <x v="3"/>
    <x v="0"/>
    <x v="36"/>
    <x v="149"/>
    <x v="0"/>
    <x v="0"/>
    <x v="0"/>
    <x v="0"/>
  </r>
  <r>
    <x v="158"/>
    <x v="78"/>
    <x v="16"/>
    <x v="2"/>
    <x v="0"/>
    <x v="14"/>
    <x v="13"/>
    <x v="0"/>
    <x v="35"/>
    <x v="141"/>
    <x v="0"/>
    <x v="0"/>
    <x v="0"/>
    <x v="0"/>
  </r>
  <r>
    <x v="159"/>
    <x v="79"/>
    <x v="110"/>
    <x v="0"/>
    <x v="0"/>
    <x v="50"/>
    <x v="56"/>
    <x v="0"/>
    <x v="35"/>
    <x v="199"/>
    <x v="0"/>
    <x v="0"/>
    <x v="0"/>
    <x v="13"/>
  </r>
  <r>
    <x v="160"/>
    <x v="80"/>
    <x v="111"/>
    <x v="5"/>
    <x v="0"/>
    <x v="12"/>
    <x v="11"/>
    <x v="0"/>
    <x v="36"/>
    <x v="200"/>
    <x v="0"/>
    <x v="0"/>
    <x v="1"/>
    <x v="0"/>
  </r>
  <r>
    <x v="161"/>
    <x v="81"/>
    <x v="112"/>
    <x v="0"/>
    <x v="0"/>
    <x v="14"/>
    <x v="13"/>
    <x v="0"/>
    <x v="35"/>
    <x v="141"/>
    <x v="0"/>
    <x v="0"/>
    <x v="1"/>
    <x v="0"/>
  </r>
  <r>
    <x v="162"/>
    <x v="82"/>
    <x v="113"/>
    <x v="0"/>
    <x v="0"/>
    <x v="13"/>
    <x v="12"/>
    <x v="0"/>
    <x v="43"/>
    <x v="201"/>
    <x v="0"/>
    <x v="0"/>
    <x v="0"/>
    <x v="14"/>
  </r>
  <r>
    <x v="163"/>
    <x v="81"/>
    <x v="114"/>
    <x v="5"/>
    <x v="0"/>
    <x v="34"/>
    <x v="34"/>
    <x v="0"/>
    <x v="36"/>
    <x v="202"/>
    <x v="0"/>
    <x v="0"/>
    <x v="1"/>
    <x v="0"/>
  </r>
  <r>
    <x v="163"/>
    <x v="81"/>
    <x v="114"/>
    <x v="15"/>
    <x v="0"/>
    <x v="12"/>
    <x v="11"/>
    <x v="0"/>
    <x v="38"/>
    <x v="203"/>
    <x v="0"/>
    <x v="0"/>
    <x v="1"/>
    <x v="0"/>
  </r>
  <r>
    <x v="164"/>
    <x v="83"/>
    <x v="115"/>
    <x v="1"/>
    <x v="0"/>
    <x v="1"/>
    <x v="1"/>
    <x v="0"/>
    <x v="37"/>
    <x v="204"/>
    <x v="0"/>
    <x v="0"/>
    <x v="1"/>
    <x v="0"/>
  </r>
  <r>
    <x v="164"/>
    <x v="83"/>
    <x v="115"/>
    <x v="0"/>
    <x v="0"/>
    <x v="12"/>
    <x v="11"/>
    <x v="0"/>
    <x v="35"/>
    <x v="198"/>
    <x v="0"/>
    <x v="0"/>
    <x v="1"/>
    <x v="0"/>
  </r>
  <r>
    <x v="165"/>
    <x v="84"/>
    <x v="116"/>
    <x v="4"/>
    <x v="0"/>
    <x v="4"/>
    <x v="4"/>
    <x v="0"/>
    <x v="16"/>
    <x v="180"/>
    <x v="0"/>
    <x v="0"/>
    <x v="1"/>
    <x v="0"/>
  </r>
  <r>
    <x v="166"/>
    <x v="85"/>
    <x v="117"/>
    <x v="16"/>
    <x v="0"/>
    <x v="3"/>
    <x v="3"/>
    <x v="0"/>
    <x v="44"/>
    <x v="152"/>
    <x v="0"/>
    <x v="0"/>
    <x v="1"/>
    <x v="0"/>
  </r>
  <r>
    <x v="167"/>
    <x v="86"/>
    <x v="118"/>
    <x v="5"/>
    <x v="0"/>
    <x v="9"/>
    <x v="9"/>
    <x v="0"/>
    <x v="36"/>
    <x v="165"/>
    <x v="0"/>
    <x v="0"/>
    <x v="1"/>
    <x v="0"/>
  </r>
  <r>
    <x v="168"/>
    <x v="81"/>
    <x v="73"/>
    <x v="10"/>
    <x v="0"/>
    <x v="24"/>
    <x v="23"/>
    <x v="0"/>
    <x v="2"/>
    <x v="57"/>
    <x v="0"/>
    <x v="0"/>
    <x v="1"/>
    <x v="0"/>
  </r>
  <r>
    <x v="169"/>
    <x v="81"/>
    <x v="16"/>
    <x v="0"/>
    <x v="0"/>
    <x v="20"/>
    <x v="19"/>
    <x v="0"/>
    <x v="35"/>
    <x v="205"/>
    <x v="0"/>
    <x v="0"/>
    <x v="1"/>
    <x v="0"/>
  </r>
  <r>
    <x v="170"/>
    <x v="82"/>
    <x v="119"/>
    <x v="1"/>
    <x v="0"/>
    <x v="51"/>
    <x v="57"/>
    <x v="0"/>
    <x v="17"/>
    <x v="206"/>
    <x v="0"/>
    <x v="0"/>
    <x v="0"/>
    <x v="0"/>
  </r>
  <r>
    <x v="170"/>
    <x v="82"/>
    <x v="119"/>
    <x v="0"/>
    <x v="0"/>
    <x v="52"/>
    <x v="58"/>
    <x v="0"/>
    <x v="22"/>
    <x v="207"/>
    <x v="0"/>
    <x v="0"/>
    <x v="0"/>
    <x v="0"/>
  </r>
  <r>
    <x v="170"/>
    <x v="82"/>
    <x v="119"/>
    <x v="6"/>
    <x v="0"/>
    <x v="34"/>
    <x v="34"/>
    <x v="0"/>
    <x v="47"/>
    <x v="208"/>
    <x v="0"/>
    <x v="0"/>
    <x v="0"/>
    <x v="0"/>
  </r>
  <r>
    <x v="171"/>
    <x v="82"/>
    <x v="120"/>
    <x v="2"/>
    <x v="0"/>
    <x v="3"/>
    <x v="3"/>
    <x v="0"/>
    <x v="12"/>
    <x v="111"/>
    <x v="0"/>
    <x v="0"/>
    <x v="1"/>
    <x v="0"/>
  </r>
  <r>
    <x v="172"/>
    <x v="87"/>
    <x v="121"/>
    <x v="1"/>
    <x v="0"/>
    <x v="3"/>
    <x v="3"/>
    <x v="0"/>
    <x v="37"/>
    <x v="153"/>
    <x v="0"/>
    <x v="0"/>
    <x v="1"/>
    <x v="0"/>
  </r>
  <r>
    <x v="172"/>
    <x v="87"/>
    <x v="121"/>
    <x v="0"/>
    <x v="0"/>
    <x v="3"/>
    <x v="3"/>
    <x v="0"/>
    <x v="35"/>
    <x v="154"/>
    <x v="0"/>
    <x v="0"/>
    <x v="1"/>
    <x v="0"/>
  </r>
  <r>
    <x v="173"/>
    <x v="85"/>
    <x v="93"/>
    <x v="8"/>
    <x v="0"/>
    <x v="12"/>
    <x v="11"/>
    <x v="0"/>
    <x v="48"/>
    <x v="209"/>
    <x v="0"/>
    <x v="0"/>
    <x v="1"/>
    <x v="0"/>
  </r>
  <r>
    <x v="172"/>
    <x v="87"/>
    <x v="121"/>
    <x v="2"/>
    <x v="0"/>
    <x v="3"/>
    <x v="3"/>
    <x v="0"/>
    <x v="0"/>
    <x v="79"/>
    <x v="0"/>
    <x v="0"/>
    <x v="1"/>
    <x v="0"/>
  </r>
  <r>
    <x v="172"/>
    <x v="87"/>
    <x v="121"/>
    <x v="3"/>
    <x v="0"/>
    <x v="3"/>
    <x v="3"/>
    <x v="0"/>
    <x v="3"/>
    <x v="98"/>
    <x v="0"/>
    <x v="0"/>
    <x v="1"/>
    <x v="0"/>
  </r>
  <r>
    <x v="174"/>
    <x v="86"/>
    <x v="122"/>
    <x v="0"/>
    <x v="0"/>
    <x v="53"/>
    <x v="59"/>
    <x v="0"/>
    <x v="35"/>
    <x v="210"/>
    <x v="0"/>
    <x v="0"/>
    <x v="1"/>
    <x v="0"/>
  </r>
  <r>
    <x v="175"/>
    <x v="88"/>
    <x v="123"/>
    <x v="5"/>
    <x v="0"/>
    <x v="3"/>
    <x v="3"/>
    <x v="0"/>
    <x v="36"/>
    <x v="149"/>
    <x v="0"/>
    <x v="0"/>
    <x v="1"/>
    <x v="0"/>
  </r>
  <r>
    <x v="175"/>
    <x v="88"/>
    <x v="123"/>
    <x v="7"/>
    <x v="0"/>
    <x v="3"/>
    <x v="3"/>
    <x v="0"/>
    <x v="3"/>
    <x v="98"/>
    <x v="0"/>
    <x v="0"/>
    <x v="1"/>
    <x v="0"/>
  </r>
  <r>
    <x v="175"/>
    <x v="88"/>
    <x v="123"/>
    <x v="13"/>
    <x v="0"/>
    <x v="3"/>
    <x v="3"/>
    <x v="0"/>
    <x v="16"/>
    <x v="53"/>
    <x v="0"/>
    <x v="0"/>
    <x v="1"/>
    <x v="0"/>
  </r>
  <r>
    <x v="176"/>
    <x v="89"/>
    <x v="7"/>
    <x v="0"/>
    <x v="0"/>
    <x v="6"/>
    <x v="6"/>
    <x v="0"/>
    <x v="18"/>
    <x v="211"/>
    <x v="0"/>
    <x v="0"/>
    <x v="1"/>
    <x v="0"/>
  </r>
  <r>
    <x v="177"/>
    <x v="88"/>
    <x v="124"/>
    <x v="0"/>
    <x v="0"/>
    <x v="12"/>
    <x v="11"/>
    <x v="0"/>
    <x v="35"/>
    <x v="198"/>
    <x v="0"/>
    <x v="0"/>
    <x v="1"/>
    <x v="0"/>
  </r>
  <r>
    <x v="178"/>
    <x v="88"/>
    <x v="16"/>
    <x v="0"/>
    <x v="0"/>
    <x v="5"/>
    <x v="5"/>
    <x v="0"/>
    <x v="35"/>
    <x v="212"/>
    <x v="0"/>
    <x v="0"/>
    <x v="1"/>
    <x v="0"/>
  </r>
  <r>
    <x v="179"/>
    <x v="86"/>
    <x v="125"/>
    <x v="0"/>
    <x v="0"/>
    <x v="1"/>
    <x v="1"/>
    <x v="0"/>
    <x v="35"/>
    <x v="156"/>
    <x v="0"/>
    <x v="0"/>
    <x v="1"/>
    <x v="0"/>
  </r>
  <r>
    <x v="179"/>
    <x v="86"/>
    <x v="125"/>
    <x v="1"/>
    <x v="0"/>
    <x v="9"/>
    <x v="9"/>
    <x v="0"/>
    <x v="37"/>
    <x v="155"/>
    <x v="0"/>
    <x v="0"/>
    <x v="1"/>
    <x v="0"/>
  </r>
  <r>
    <x v="180"/>
    <x v="90"/>
    <x v="16"/>
    <x v="8"/>
    <x v="0"/>
    <x v="9"/>
    <x v="9"/>
    <x v="0"/>
    <x v="38"/>
    <x v="164"/>
    <x v="0"/>
    <x v="0"/>
    <x v="1"/>
    <x v="0"/>
  </r>
  <r>
    <x v="181"/>
    <x v="90"/>
    <x v="23"/>
    <x v="4"/>
    <x v="0"/>
    <x v="4"/>
    <x v="4"/>
    <x v="0"/>
    <x v="16"/>
    <x v="180"/>
    <x v="0"/>
    <x v="0"/>
    <x v="1"/>
    <x v="0"/>
  </r>
  <r>
    <x v="182"/>
    <x v="90"/>
    <x v="126"/>
    <x v="17"/>
    <x v="0"/>
    <x v="19"/>
    <x v="18"/>
    <x v="0"/>
    <x v="28"/>
    <x v="213"/>
    <x v="0"/>
    <x v="0"/>
    <x v="1"/>
    <x v="0"/>
  </r>
  <r>
    <x v="183"/>
    <x v="91"/>
    <x v="127"/>
    <x v="4"/>
    <x v="0"/>
    <x v="4"/>
    <x v="4"/>
    <x v="0"/>
    <x v="16"/>
    <x v="180"/>
    <x v="0"/>
    <x v="0"/>
    <x v="1"/>
    <x v="0"/>
  </r>
  <r>
    <x v="184"/>
    <x v="86"/>
    <x v="128"/>
    <x v="6"/>
    <x v="1"/>
    <x v="33"/>
    <x v="13"/>
    <x v="0"/>
    <x v="10"/>
    <x v="214"/>
    <x v="0"/>
    <x v="1"/>
    <x v="0"/>
    <x v="15"/>
  </r>
  <r>
    <x v="185"/>
    <x v="92"/>
    <x v="129"/>
    <x v="5"/>
    <x v="0"/>
    <x v="3"/>
    <x v="3"/>
    <x v="0"/>
    <x v="49"/>
    <x v="215"/>
    <x v="0"/>
    <x v="0"/>
    <x v="1"/>
    <x v="0"/>
  </r>
  <r>
    <x v="185"/>
    <x v="92"/>
    <x v="129"/>
    <x v="16"/>
    <x v="0"/>
    <x v="24"/>
    <x v="23"/>
    <x v="0"/>
    <x v="44"/>
    <x v="216"/>
    <x v="0"/>
    <x v="0"/>
    <x v="1"/>
    <x v="0"/>
  </r>
  <r>
    <x v="185"/>
    <x v="92"/>
    <x v="129"/>
    <x v="1"/>
    <x v="0"/>
    <x v="3"/>
    <x v="3"/>
    <x v="0"/>
    <x v="50"/>
    <x v="78"/>
    <x v="0"/>
    <x v="0"/>
    <x v="1"/>
    <x v="0"/>
  </r>
  <r>
    <x v="186"/>
    <x v="92"/>
    <x v="130"/>
    <x v="16"/>
    <x v="0"/>
    <x v="32"/>
    <x v="32"/>
    <x v="0"/>
    <x v="44"/>
    <x v="217"/>
    <x v="0"/>
    <x v="0"/>
    <x v="1"/>
    <x v="0"/>
  </r>
  <r>
    <x v="186"/>
    <x v="92"/>
    <x v="130"/>
    <x v="1"/>
    <x v="0"/>
    <x v="9"/>
    <x v="9"/>
    <x v="0"/>
    <x v="50"/>
    <x v="93"/>
    <x v="0"/>
    <x v="0"/>
    <x v="1"/>
    <x v="0"/>
  </r>
  <r>
    <x v="187"/>
    <x v="86"/>
    <x v="131"/>
    <x v="15"/>
    <x v="0"/>
    <x v="1"/>
    <x v="1"/>
    <x v="0"/>
    <x v="51"/>
    <x v="218"/>
    <x v="0"/>
    <x v="0"/>
    <x v="1"/>
    <x v="0"/>
  </r>
  <r>
    <x v="187"/>
    <x v="86"/>
    <x v="131"/>
    <x v="6"/>
    <x v="0"/>
    <x v="9"/>
    <x v="9"/>
    <x v="0"/>
    <x v="49"/>
    <x v="219"/>
    <x v="0"/>
    <x v="0"/>
    <x v="1"/>
    <x v="0"/>
  </r>
  <r>
    <x v="188"/>
    <x v="87"/>
    <x v="16"/>
    <x v="0"/>
    <x v="0"/>
    <x v="6"/>
    <x v="6"/>
    <x v="0"/>
    <x v="52"/>
    <x v="220"/>
    <x v="0"/>
    <x v="0"/>
    <x v="1"/>
    <x v="0"/>
  </r>
  <r>
    <x v="189"/>
    <x v="92"/>
    <x v="16"/>
    <x v="8"/>
    <x v="0"/>
    <x v="9"/>
    <x v="9"/>
    <x v="0"/>
    <x v="51"/>
    <x v="221"/>
    <x v="0"/>
    <x v="0"/>
    <x v="1"/>
    <x v="0"/>
  </r>
  <r>
    <x v="190"/>
    <x v="86"/>
    <x v="132"/>
    <x v="0"/>
    <x v="0"/>
    <x v="25"/>
    <x v="24"/>
    <x v="0"/>
    <x v="52"/>
    <x v="222"/>
    <x v="0"/>
    <x v="0"/>
    <x v="1"/>
    <x v="0"/>
  </r>
  <r>
    <x v="191"/>
    <x v="86"/>
    <x v="16"/>
    <x v="4"/>
    <x v="0"/>
    <x v="1"/>
    <x v="1"/>
    <x v="0"/>
    <x v="16"/>
    <x v="96"/>
    <x v="0"/>
    <x v="0"/>
    <x v="1"/>
    <x v="0"/>
  </r>
  <r>
    <x v="192"/>
    <x v="93"/>
    <x v="133"/>
    <x v="0"/>
    <x v="0"/>
    <x v="9"/>
    <x v="9"/>
    <x v="0"/>
    <x v="4"/>
    <x v="223"/>
    <x v="4"/>
    <x v="0"/>
    <x v="0"/>
    <x v="0"/>
  </r>
  <r>
    <x v="191"/>
    <x v="86"/>
    <x v="16"/>
    <x v="5"/>
    <x v="0"/>
    <x v="14"/>
    <x v="13"/>
    <x v="0"/>
    <x v="49"/>
    <x v="224"/>
    <x v="0"/>
    <x v="0"/>
    <x v="1"/>
    <x v="0"/>
  </r>
  <r>
    <x v="193"/>
    <x v="94"/>
    <x v="59"/>
    <x v="6"/>
    <x v="0"/>
    <x v="9"/>
    <x v="9"/>
    <x v="0"/>
    <x v="9"/>
    <x v="15"/>
    <x v="0"/>
    <x v="1"/>
    <x v="0"/>
    <x v="0"/>
  </r>
  <r>
    <x v="194"/>
    <x v="95"/>
    <x v="63"/>
    <x v="0"/>
    <x v="0"/>
    <x v="1"/>
    <x v="1"/>
    <x v="0"/>
    <x v="52"/>
    <x v="225"/>
    <x v="0"/>
    <x v="0"/>
    <x v="1"/>
    <x v="0"/>
  </r>
  <r>
    <x v="195"/>
    <x v="96"/>
    <x v="102"/>
    <x v="10"/>
    <x v="0"/>
    <x v="3"/>
    <x v="3"/>
    <x v="0"/>
    <x v="18"/>
    <x v="226"/>
    <x v="5"/>
    <x v="0"/>
    <x v="0"/>
    <x v="0"/>
  </r>
  <r>
    <x v="196"/>
    <x v="97"/>
    <x v="134"/>
    <x v="0"/>
    <x v="0"/>
    <x v="3"/>
    <x v="3"/>
    <x v="0"/>
    <x v="52"/>
    <x v="227"/>
    <x v="0"/>
    <x v="0"/>
    <x v="1"/>
    <x v="0"/>
  </r>
  <r>
    <x v="197"/>
    <x v="97"/>
    <x v="135"/>
    <x v="1"/>
    <x v="0"/>
    <x v="12"/>
    <x v="11"/>
    <x v="0"/>
    <x v="50"/>
    <x v="107"/>
    <x v="0"/>
    <x v="0"/>
    <x v="1"/>
    <x v="0"/>
  </r>
  <r>
    <x v="197"/>
    <x v="97"/>
    <x v="135"/>
    <x v="0"/>
    <x v="0"/>
    <x v="7"/>
    <x v="7"/>
    <x v="0"/>
    <x v="52"/>
    <x v="126"/>
    <x v="0"/>
    <x v="0"/>
    <x v="1"/>
    <x v="0"/>
  </r>
  <r>
    <x v="198"/>
    <x v="97"/>
    <x v="136"/>
    <x v="8"/>
    <x v="0"/>
    <x v="9"/>
    <x v="9"/>
    <x v="0"/>
    <x v="51"/>
    <x v="221"/>
    <x v="0"/>
    <x v="0"/>
    <x v="1"/>
    <x v="0"/>
  </r>
  <r>
    <x v="199"/>
    <x v="97"/>
    <x v="137"/>
    <x v="5"/>
    <x v="0"/>
    <x v="12"/>
    <x v="11"/>
    <x v="0"/>
    <x v="49"/>
    <x v="228"/>
    <x v="0"/>
    <x v="0"/>
    <x v="1"/>
    <x v="0"/>
  </r>
  <r>
    <x v="199"/>
    <x v="97"/>
    <x v="137"/>
    <x v="0"/>
    <x v="0"/>
    <x v="9"/>
    <x v="9"/>
    <x v="0"/>
    <x v="52"/>
    <x v="229"/>
    <x v="0"/>
    <x v="0"/>
    <x v="1"/>
    <x v="0"/>
  </r>
  <r>
    <x v="199"/>
    <x v="97"/>
    <x v="137"/>
    <x v="8"/>
    <x v="0"/>
    <x v="9"/>
    <x v="9"/>
    <x v="0"/>
    <x v="51"/>
    <x v="221"/>
    <x v="0"/>
    <x v="0"/>
    <x v="1"/>
    <x v="0"/>
  </r>
  <r>
    <x v="200"/>
    <x v="97"/>
    <x v="138"/>
    <x v="1"/>
    <x v="0"/>
    <x v="26"/>
    <x v="26"/>
    <x v="0"/>
    <x v="50"/>
    <x v="230"/>
    <x v="0"/>
    <x v="0"/>
    <x v="1"/>
    <x v="0"/>
  </r>
  <r>
    <x v="200"/>
    <x v="97"/>
    <x v="138"/>
    <x v="1"/>
    <x v="0"/>
    <x v="24"/>
    <x v="23"/>
    <x v="0"/>
    <x v="50"/>
    <x v="231"/>
    <x v="0"/>
    <x v="0"/>
    <x v="1"/>
    <x v="0"/>
  </r>
  <r>
    <x v="201"/>
    <x v="97"/>
    <x v="99"/>
    <x v="5"/>
    <x v="0"/>
    <x v="2"/>
    <x v="2"/>
    <x v="0"/>
    <x v="49"/>
    <x v="232"/>
    <x v="0"/>
    <x v="0"/>
    <x v="1"/>
    <x v="0"/>
  </r>
  <r>
    <x v="202"/>
    <x v="97"/>
    <x v="16"/>
    <x v="5"/>
    <x v="0"/>
    <x v="14"/>
    <x v="13"/>
    <x v="0"/>
    <x v="49"/>
    <x v="224"/>
    <x v="0"/>
    <x v="0"/>
    <x v="1"/>
    <x v="0"/>
  </r>
  <r>
    <x v="202"/>
    <x v="97"/>
    <x v="16"/>
    <x v="1"/>
    <x v="0"/>
    <x v="6"/>
    <x v="6"/>
    <x v="0"/>
    <x v="50"/>
    <x v="128"/>
    <x v="0"/>
    <x v="0"/>
    <x v="1"/>
    <x v="0"/>
  </r>
  <r>
    <x v="202"/>
    <x v="97"/>
    <x v="16"/>
    <x v="4"/>
    <x v="0"/>
    <x v="54"/>
    <x v="60"/>
    <x v="0"/>
    <x v="16"/>
    <x v="181"/>
    <x v="0"/>
    <x v="0"/>
    <x v="1"/>
    <x v="0"/>
  </r>
  <r>
    <x v="203"/>
    <x v="98"/>
    <x v="139"/>
    <x v="0"/>
    <x v="0"/>
    <x v="14"/>
    <x v="13"/>
    <x v="0"/>
    <x v="52"/>
    <x v="233"/>
    <x v="0"/>
    <x v="0"/>
    <x v="1"/>
    <x v="0"/>
  </r>
  <r>
    <x v="204"/>
    <x v="98"/>
    <x v="140"/>
    <x v="1"/>
    <x v="0"/>
    <x v="7"/>
    <x v="7"/>
    <x v="0"/>
    <x v="50"/>
    <x v="99"/>
    <x v="0"/>
    <x v="0"/>
    <x v="1"/>
    <x v="0"/>
  </r>
  <r>
    <x v="205"/>
    <x v="98"/>
    <x v="141"/>
    <x v="0"/>
    <x v="0"/>
    <x v="13"/>
    <x v="12"/>
    <x v="0"/>
    <x v="52"/>
    <x v="133"/>
    <x v="0"/>
    <x v="0"/>
    <x v="1"/>
    <x v="0"/>
  </r>
  <r>
    <x v="206"/>
    <x v="98"/>
    <x v="142"/>
    <x v="5"/>
    <x v="0"/>
    <x v="14"/>
    <x v="13"/>
    <x v="0"/>
    <x v="49"/>
    <x v="224"/>
    <x v="0"/>
    <x v="0"/>
    <x v="1"/>
    <x v="0"/>
  </r>
  <r>
    <x v="183"/>
    <x v="99"/>
    <x v="127"/>
    <x v="14"/>
    <x v="0"/>
    <x v="21"/>
    <x v="20"/>
    <x v="0"/>
    <x v="28"/>
    <x v="234"/>
    <x v="0"/>
    <x v="0"/>
    <x v="1"/>
    <x v="0"/>
  </r>
  <r>
    <x v="207"/>
    <x v="99"/>
    <x v="7"/>
    <x v="1"/>
    <x v="0"/>
    <x v="3"/>
    <x v="3"/>
    <x v="0"/>
    <x v="17"/>
    <x v="117"/>
    <x v="0"/>
    <x v="0"/>
    <x v="1"/>
    <x v="0"/>
  </r>
  <r>
    <x v="207"/>
    <x v="99"/>
    <x v="7"/>
    <x v="0"/>
    <x v="0"/>
    <x v="9"/>
    <x v="9"/>
    <x v="0"/>
    <x v="18"/>
    <x v="104"/>
    <x v="0"/>
    <x v="0"/>
    <x v="1"/>
    <x v="0"/>
  </r>
  <r>
    <x v="207"/>
    <x v="99"/>
    <x v="7"/>
    <x v="2"/>
    <x v="0"/>
    <x v="2"/>
    <x v="2"/>
    <x v="0"/>
    <x v="12"/>
    <x v="119"/>
    <x v="0"/>
    <x v="0"/>
    <x v="1"/>
    <x v="0"/>
  </r>
  <r>
    <x v="207"/>
    <x v="99"/>
    <x v="7"/>
    <x v="3"/>
    <x v="0"/>
    <x v="24"/>
    <x v="23"/>
    <x v="0"/>
    <x v="19"/>
    <x v="78"/>
    <x v="0"/>
    <x v="0"/>
    <x v="1"/>
    <x v="0"/>
  </r>
  <r>
    <x v="207"/>
    <x v="99"/>
    <x v="7"/>
    <x v="4"/>
    <x v="0"/>
    <x v="2"/>
    <x v="2"/>
    <x v="0"/>
    <x v="15"/>
    <x v="62"/>
    <x v="0"/>
    <x v="0"/>
    <x v="1"/>
    <x v="0"/>
  </r>
  <r>
    <x v="208"/>
    <x v="99"/>
    <x v="7"/>
    <x v="0"/>
    <x v="0"/>
    <x v="2"/>
    <x v="2"/>
    <x v="0"/>
    <x v="18"/>
    <x v="45"/>
    <x v="0"/>
    <x v="0"/>
    <x v="1"/>
    <x v="0"/>
  </r>
  <r>
    <x v="208"/>
    <x v="99"/>
    <x v="7"/>
    <x v="3"/>
    <x v="0"/>
    <x v="25"/>
    <x v="24"/>
    <x v="0"/>
    <x v="19"/>
    <x v="109"/>
    <x v="0"/>
    <x v="0"/>
    <x v="1"/>
    <x v="0"/>
  </r>
  <r>
    <x v="208"/>
    <x v="99"/>
    <x v="7"/>
    <x v="0"/>
    <x v="0"/>
    <x v="7"/>
    <x v="7"/>
    <x v="0"/>
    <x v="18"/>
    <x v="68"/>
    <x v="0"/>
    <x v="0"/>
    <x v="1"/>
    <x v="0"/>
  </r>
  <r>
    <x v="209"/>
    <x v="100"/>
    <x v="143"/>
    <x v="0"/>
    <x v="0"/>
    <x v="14"/>
    <x v="13"/>
    <x v="0"/>
    <x v="52"/>
    <x v="233"/>
    <x v="0"/>
    <x v="0"/>
    <x v="1"/>
    <x v="0"/>
  </r>
  <r>
    <x v="209"/>
    <x v="100"/>
    <x v="143"/>
    <x v="1"/>
    <x v="0"/>
    <x v="3"/>
    <x v="3"/>
    <x v="0"/>
    <x v="50"/>
    <x v="78"/>
    <x v="0"/>
    <x v="0"/>
    <x v="1"/>
    <x v="0"/>
  </r>
  <r>
    <x v="210"/>
    <x v="100"/>
    <x v="15"/>
    <x v="0"/>
    <x v="2"/>
    <x v="29"/>
    <x v="61"/>
    <x v="0"/>
    <x v="43"/>
    <x v="235"/>
    <x v="0"/>
    <x v="0"/>
    <x v="0"/>
    <x v="0"/>
  </r>
  <r>
    <x v="211"/>
    <x v="100"/>
    <x v="144"/>
    <x v="0"/>
    <x v="0"/>
    <x v="51"/>
    <x v="57"/>
    <x v="0"/>
    <x v="52"/>
    <x v="236"/>
    <x v="0"/>
    <x v="0"/>
    <x v="1"/>
    <x v="16"/>
  </r>
  <r>
    <x v="211"/>
    <x v="100"/>
    <x v="144"/>
    <x v="5"/>
    <x v="0"/>
    <x v="20"/>
    <x v="19"/>
    <x v="0"/>
    <x v="49"/>
    <x v="237"/>
    <x v="0"/>
    <x v="0"/>
    <x v="1"/>
    <x v="0"/>
  </r>
  <r>
    <x v="211"/>
    <x v="100"/>
    <x v="144"/>
    <x v="8"/>
    <x v="0"/>
    <x v="20"/>
    <x v="19"/>
    <x v="0"/>
    <x v="51"/>
    <x v="238"/>
    <x v="0"/>
    <x v="0"/>
    <x v="1"/>
    <x v="0"/>
  </r>
  <r>
    <x v="212"/>
    <x v="100"/>
    <x v="16"/>
    <x v="0"/>
    <x v="0"/>
    <x v="6"/>
    <x v="6"/>
    <x v="0"/>
    <x v="52"/>
    <x v="220"/>
    <x v="0"/>
    <x v="0"/>
    <x v="1"/>
    <x v="0"/>
  </r>
  <r>
    <x v="213"/>
    <x v="101"/>
    <x v="145"/>
    <x v="0"/>
    <x v="0"/>
    <x v="36"/>
    <x v="37"/>
    <x v="0"/>
    <x v="52"/>
    <x v="239"/>
    <x v="0"/>
    <x v="0"/>
    <x v="1"/>
    <x v="0"/>
  </r>
  <r>
    <x v="213"/>
    <x v="101"/>
    <x v="145"/>
    <x v="5"/>
    <x v="0"/>
    <x v="4"/>
    <x v="4"/>
    <x v="0"/>
    <x v="49"/>
    <x v="240"/>
    <x v="0"/>
    <x v="0"/>
    <x v="1"/>
    <x v="0"/>
  </r>
  <r>
    <x v="213"/>
    <x v="101"/>
    <x v="145"/>
    <x v="1"/>
    <x v="0"/>
    <x v="1"/>
    <x v="1"/>
    <x v="0"/>
    <x v="50"/>
    <x v="22"/>
    <x v="0"/>
    <x v="0"/>
    <x v="1"/>
    <x v="0"/>
  </r>
  <r>
    <x v="214"/>
    <x v="101"/>
    <x v="15"/>
    <x v="4"/>
    <x v="2"/>
    <x v="55"/>
    <x v="62"/>
    <x v="0"/>
    <x v="33"/>
    <x v="241"/>
    <x v="0"/>
    <x v="0"/>
    <x v="0"/>
    <x v="0"/>
  </r>
  <r>
    <x v="153"/>
    <x v="101"/>
    <x v="105"/>
    <x v="0"/>
    <x v="0"/>
    <x v="8"/>
    <x v="8"/>
    <x v="0"/>
    <x v="52"/>
    <x v="242"/>
    <x v="0"/>
    <x v="0"/>
    <x v="1"/>
    <x v="0"/>
  </r>
  <r>
    <x v="205"/>
    <x v="102"/>
    <x v="141"/>
    <x v="0"/>
    <x v="0"/>
    <x v="6"/>
    <x v="6"/>
    <x v="0"/>
    <x v="52"/>
    <x v="220"/>
    <x v="0"/>
    <x v="0"/>
    <x v="1"/>
    <x v="0"/>
  </r>
  <r>
    <x v="206"/>
    <x v="102"/>
    <x v="142"/>
    <x v="5"/>
    <x v="0"/>
    <x v="39"/>
    <x v="40"/>
    <x v="0"/>
    <x v="49"/>
    <x v="243"/>
    <x v="0"/>
    <x v="0"/>
    <x v="1"/>
    <x v="0"/>
  </r>
  <r>
    <x v="211"/>
    <x v="102"/>
    <x v="144"/>
    <x v="0"/>
    <x v="0"/>
    <x v="20"/>
    <x v="19"/>
    <x v="0"/>
    <x v="52"/>
    <x v="244"/>
    <x v="0"/>
    <x v="0"/>
    <x v="1"/>
    <x v="0"/>
  </r>
  <r>
    <x v="215"/>
    <x v="103"/>
    <x v="146"/>
    <x v="0"/>
    <x v="0"/>
    <x v="0"/>
    <x v="0"/>
    <x v="0"/>
    <x v="52"/>
    <x v="245"/>
    <x v="0"/>
    <x v="0"/>
    <x v="1"/>
    <x v="0"/>
  </r>
  <r>
    <x v="215"/>
    <x v="103"/>
    <x v="146"/>
    <x v="5"/>
    <x v="0"/>
    <x v="6"/>
    <x v="6"/>
    <x v="0"/>
    <x v="49"/>
    <x v="246"/>
    <x v="0"/>
    <x v="0"/>
    <x v="1"/>
    <x v="0"/>
  </r>
  <r>
    <x v="215"/>
    <x v="103"/>
    <x v="146"/>
    <x v="1"/>
    <x v="0"/>
    <x v="14"/>
    <x v="13"/>
    <x v="0"/>
    <x v="50"/>
    <x v="60"/>
    <x v="0"/>
    <x v="0"/>
    <x v="1"/>
    <x v="0"/>
  </r>
  <r>
    <x v="216"/>
    <x v="103"/>
    <x v="146"/>
    <x v="3"/>
    <x v="0"/>
    <x v="7"/>
    <x v="7"/>
    <x v="0"/>
    <x v="36"/>
    <x v="114"/>
    <x v="0"/>
    <x v="0"/>
    <x v="1"/>
    <x v="0"/>
  </r>
  <r>
    <x v="217"/>
    <x v="104"/>
    <x v="147"/>
    <x v="7"/>
    <x v="0"/>
    <x v="12"/>
    <x v="11"/>
    <x v="0"/>
    <x v="36"/>
    <x v="200"/>
    <x v="0"/>
    <x v="0"/>
    <x v="1"/>
    <x v="0"/>
  </r>
  <r>
    <x v="218"/>
    <x v="104"/>
    <x v="148"/>
    <x v="6"/>
    <x v="0"/>
    <x v="56"/>
    <x v="63"/>
    <x v="0"/>
    <x v="49"/>
    <x v="247"/>
    <x v="0"/>
    <x v="0"/>
    <x v="1"/>
    <x v="0"/>
  </r>
  <r>
    <x v="219"/>
    <x v="102"/>
    <x v="89"/>
    <x v="0"/>
    <x v="0"/>
    <x v="6"/>
    <x v="6"/>
    <x v="0"/>
    <x v="11"/>
    <x v="248"/>
    <x v="0"/>
    <x v="1"/>
    <x v="1"/>
    <x v="0"/>
  </r>
  <r>
    <x v="220"/>
    <x v="105"/>
    <x v="15"/>
    <x v="4"/>
    <x v="2"/>
    <x v="29"/>
    <x v="53"/>
    <x v="0"/>
    <x v="33"/>
    <x v="249"/>
    <x v="0"/>
    <x v="0"/>
    <x v="0"/>
    <x v="0"/>
  </r>
  <r>
    <x v="183"/>
    <x v="106"/>
    <x v="127"/>
    <x v="14"/>
    <x v="0"/>
    <x v="24"/>
    <x v="23"/>
    <x v="0"/>
    <x v="28"/>
    <x v="250"/>
    <x v="0"/>
    <x v="0"/>
    <x v="1"/>
    <x v="0"/>
  </r>
  <r>
    <x v="184"/>
    <x v="107"/>
    <x v="128"/>
    <x v="6"/>
    <x v="1"/>
    <x v="57"/>
    <x v="64"/>
    <x v="0"/>
    <x v="23"/>
    <x v="251"/>
    <x v="0"/>
    <x v="0"/>
    <x v="1"/>
    <x v="17"/>
  </r>
  <r>
    <x v="221"/>
    <x v="107"/>
    <x v="149"/>
    <x v="3"/>
    <x v="0"/>
    <x v="12"/>
    <x v="11"/>
    <x v="0"/>
    <x v="36"/>
    <x v="200"/>
    <x v="0"/>
    <x v="0"/>
    <x v="1"/>
    <x v="0"/>
  </r>
  <r>
    <x v="221"/>
    <x v="107"/>
    <x v="149"/>
    <x v="0"/>
    <x v="0"/>
    <x v="12"/>
    <x v="11"/>
    <x v="0"/>
    <x v="52"/>
    <x v="252"/>
    <x v="0"/>
    <x v="0"/>
    <x v="1"/>
    <x v="0"/>
  </r>
  <r>
    <x v="222"/>
    <x v="107"/>
    <x v="17"/>
    <x v="1"/>
    <x v="0"/>
    <x v="1"/>
    <x v="1"/>
    <x v="0"/>
    <x v="24"/>
    <x v="253"/>
    <x v="0"/>
    <x v="0"/>
    <x v="1"/>
    <x v="0"/>
  </r>
  <r>
    <x v="223"/>
    <x v="107"/>
    <x v="17"/>
    <x v="0"/>
    <x v="0"/>
    <x v="1"/>
    <x v="1"/>
    <x v="0"/>
    <x v="25"/>
    <x v="185"/>
    <x v="0"/>
    <x v="0"/>
    <x v="1"/>
    <x v="0"/>
  </r>
  <r>
    <x v="223"/>
    <x v="107"/>
    <x v="17"/>
    <x v="7"/>
    <x v="0"/>
    <x v="7"/>
    <x v="7"/>
    <x v="0"/>
    <x v="4"/>
    <x v="73"/>
    <x v="0"/>
    <x v="0"/>
    <x v="1"/>
    <x v="0"/>
  </r>
  <r>
    <x v="224"/>
    <x v="107"/>
    <x v="7"/>
    <x v="0"/>
    <x v="0"/>
    <x v="9"/>
    <x v="9"/>
    <x v="0"/>
    <x v="18"/>
    <x v="104"/>
    <x v="0"/>
    <x v="0"/>
    <x v="1"/>
    <x v="0"/>
  </r>
  <r>
    <x v="225"/>
    <x v="107"/>
    <x v="7"/>
    <x v="0"/>
    <x v="0"/>
    <x v="20"/>
    <x v="19"/>
    <x v="0"/>
    <x v="18"/>
    <x v="194"/>
    <x v="0"/>
    <x v="0"/>
    <x v="1"/>
    <x v="0"/>
  </r>
  <r>
    <x v="225"/>
    <x v="107"/>
    <x v="7"/>
    <x v="3"/>
    <x v="0"/>
    <x v="20"/>
    <x v="19"/>
    <x v="0"/>
    <x v="19"/>
    <x v="63"/>
    <x v="0"/>
    <x v="0"/>
    <x v="1"/>
    <x v="0"/>
  </r>
  <r>
    <x v="226"/>
    <x v="107"/>
    <x v="150"/>
    <x v="8"/>
    <x v="0"/>
    <x v="9"/>
    <x v="9"/>
    <x v="0"/>
    <x v="51"/>
    <x v="221"/>
    <x v="0"/>
    <x v="0"/>
    <x v="1"/>
    <x v="0"/>
  </r>
  <r>
    <x v="227"/>
    <x v="108"/>
    <x v="15"/>
    <x v="5"/>
    <x v="0"/>
    <x v="14"/>
    <x v="13"/>
    <x v="0"/>
    <x v="29"/>
    <x v="101"/>
    <x v="0"/>
    <x v="0"/>
    <x v="0"/>
    <x v="0"/>
  </r>
  <r>
    <x v="228"/>
    <x v="109"/>
    <x v="151"/>
    <x v="1"/>
    <x v="0"/>
    <x v="3"/>
    <x v="3"/>
    <x v="0"/>
    <x v="50"/>
    <x v="78"/>
    <x v="0"/>
    <x v="0"/>
    <x v="1"/>
    <x v="0"/>
  </r>
  <r>
    <x v="228"/>
    <x v="109"/>
    <x v="151"/>
    <x v="0"/>
    <x v="0"/>
    <x v="9"/>
    <x v="9"/>
    <x v="0"/>
    <x v="52"/>
    <x v="229"/>
    <x v="0"/>
    <x v="0"/>
    <x v="1"/>
    <x v="0"/>
  </r>
  <r>
    <x v="228"/>
    <x v="109"/>
    <x v="151"/>
    <x v="5"/>
    <x v="0"/>
    <x v="9"/>
    <x v="9"/>
    <x v="0"/>
    <x v="49"/>
    <x v="219"/>
    <x v="0"/>
    <x v="0"/>
    <x v="1"/>
    <x v="0"/>
  </r>
  <r>
    <x v="228"/>
    <x v="109"/>
    <x v="151"/>
    <x v="8"/>
    <x v="0"/>
    <x v="9"/>
    <x v="9"/>
    <x v="0"/>
    <x v="51"/>
    <x v="221"/>
    <x v="0"/>
    <x v="0"/>
    <x v="1"/>
    <x v="0"/>
  </r>
  <r>
    <x v="228"/>
    <x v="109"/>
    <x v="151"/>
    <x v="16"/>
    <x v="4"/>
    <x v="2"/>
    <x v="24"/>
    <x v="0"/>
    <x v="44"/>
    <x v="254"/>
    <x v="0"/>
    <x v="0"/>
    <x v="1"/>
    <x v="0"/>
  </r>
  <r>
    <x v="228"/>
    <x v="109"/>
    <x v="151"/>
    <x v="4"/>
    <x v="0"/>
    <x v="3"/>
    <x v="3"/>
    <x v="0"/>
    <x v="16"/>
    <x v="53"/>
    <x v="0"/>
    <x v="0"/>
    <x v="1"/>
    <x v="0"/>
  </r>
  <r>
    <x v="229"/>
    <x v="109"/>
    <x v="152"/>
    <x v="0"/>
    <x v="0"/>
    <x v="20"/>
    <x v="19"/>
    <x v="0"/>
    <x v="52"/>
    <x v="244"/>
    <x v="0"/>
    <x v="0"/>
    <x v="1"/>
    <x v="0"/>
  </r>
  <r>
    <x v="229"/>
    <x v="109"/>
    <x v="152"/>
    <x v="1"/>
    <x v="0"/>
    <x v="20"/>
    <x v="19"/>
    <x v="0"/>
    <x v="50"/>
    <x v="2"/>
    <x v="0"/>
    <x v="0"/>
    <x v="1"/>
    <x v="0"/>
  </r>
  <r>
    <x v="230"/>
    <x v="109"/>
    <x v="153"/>
    <x v="1"/>
    <x v="0"/>
    <x v="32"/>
    <x v="32"/>
    <x v="0"/>
    <x v="50"/>
    <x v="255"/>
    <x v="0"/>
    <x v="0"/>
    <x v="1"/>
    <x v="0"/>
  </r>
  <r>
    <x v="230"/>
    <x v="109"/>
    <x v="153"/>
    <x v="0"/>
    <x v="0"/>
    <x v="26"/>
    <x v="26"/>
    <x v="0"/>
    <x v="52"/>
    <x v="256"/>
    <x v="0"/>
    <x v="0"/>
    <x v="1"/>
    <x v="0"/>
  </r>
  <r>
    <x v="231"/>
    <x v="109"/>
    <x v="16"/>
    <x v="8"/>
    <x v="0"/>
    <x v="9"/>
    <x v="9"/>
    <x v="0"/>
    <x v="51"/>
    <x v="221"/>
    <x v="0"/>
    <x v="0"/>
    <x v="1"/>
    <x v="0"/>
  </r>
  <r>
    <x v="232"/>
    <x v="109"/>
    <x v="15"/>
    <x v="4"/>
    <x v="0"/>
    <x v="25"/>
    <x v="24"/>
    <x v="0"/>
    <x v="33"/>
    <x v="257"/>
    <x v="0"/>
    <x v="0"/>
    <x v="0"/>
    <x v="0"/>
  </r>
  <r>
    <x v="205"/>
    <x v="110"/>
    <x v="141"/>
    <x v="0"/>
    <x v="0"/>
    <x v="13"/>
    <x v="12"/>
    <x v="0"/>
    <x v="52"/>
    <x v="133"/>
    <x v="0"/>
    <x v="0"/>
    <x v="1"/>
    <x v="0"/>
  </r>
  <r>
    <x v="206"/>
    <x v="110"/>
    <x v="142"/>
    <x v="5"/>
    <x v="0"/>
    <x v="58"/>
    <x v="65"/>
    <x v="0"/>
    <x v="49"/>
    <x v="258"/>
    <x v="0"/>
    <x v="0"/>
    <x v="1"/>
    <x v="0"/>
  </r>
  <r>
    <x v="233"/>
    <x v="110"/>
    <x v="40"/>
    <x v="7"/>
    <x v="0"/>
    <x v="9"/>
    <x v="9"/>
    <x v="0"/>
    <x v="13"/>
    <x v="26"/>
    <x v="0"/>
    <x v="0"/>
    <x v="1"/>
    <x v="0"/>
  </r>
  <r>
    <x v="233"/>
    <x v="110"/>
    <x v="40"/>
    <x v="13"/>
    <x v="0"/>
    <x v="9"/>
    <x v="9"/>
    <x v="0"/>
    <x v="14"/>
    <x v="259"/>
    <x v="0"/>
    <x v="0"/>
    <x v="1"/>
    <x v="0"/>
  </r>
  <r>
    <x v="234"/>
    <x v="110"/>
    <x v="15"/>
    <x v="4"/>
    <x v="0"/>
    <x v="2"/>
    <x v="2"/>
    <x v="0"/>
    <x v="33"/>
    <x v="260"/>
    <x v="0"/>
    <x v="0"/>
    <x v="0"/>
    <x v="0"/>
  </r>
  <r>
    <x v="235"/>
    <x v="111"/>
    <x v="154"/>
    <x v="1"/>
    <x v="0"/>
    <x v="3"/>
    <x v="3"/>
    <x v="0"/>
    <x v="50"/>
    <x v="78"/>
    <x v="0"/>
    <x v="0"/>
    <x v="1"/>
    <x v="0"/>
  </r>
  <r>
    <x v="235"/>
    <x v="111"/>
    <x v="154"/>
    <x v="0"/>
    <x v="0"/>
    <x v="3"/>
    <x v="3"/>
    <x v="0"/>
    <x v="52"/>
    <x v="227"/>
    <x v="0"/>
    <x v="0"/>
    <x v="1"/>
    <x v="0"/>
  </r>
  <r>
    <x v="235"/>
    <x v="111"/>
    <x v="154"/>
    <x v="5"/>
    <x v="0"/>
    <x v="3"/>
    <x v="3"/>
    <x v="0"/>
    <x v="49"/>
    <x v="215"/>
    <x v="0"/>
    <x v="0"/>
    <x v="1"/>
    <x v="0"/>
  </r>
  <r>
    <x v="236"/>
    <x v="111"/>
    <x v="155"/>
    <x v="0"/>
    <x v="0"/>
    <x v="24"/>
    <x v="23"/>
    <x v="0"/>
    <x v="52"/>
    <x v="261"/>
    <x v="0"/>
    <x v="0"/>
    <x v="1"/>
    <x v="0"/>
  </r>
  <r>
    <x v="237"/>
    <x v="111"/>
    <x v="16"/>
    <x v="0"/>
    <x v="0"/>
    <x v="6"/>
    <x v="6"/>
    <x v="0"/>
    <x v="52"/>
    <x v="220"/>
    <x v="0"/>
    <x v="0"/>
    <x v="1"/>
    <x v="0"/>
  </r>
  <r>
    <x v="238"/>
    <x v="111"/>
    <x v="156"/>
    <x v="5"/>
    <x v="0"/>
    <x v="9"/>
    <x v="9"/>
    <x v="0"/>
    <x v="49"/>
    <x v="219"/>
    <x v="0"/>
    <x v="0"/>
    <x v="1"/>
    <x v="0"/>
  </r>
  <r>
    <x v="238"/>
    <x v="111"/>
    <x v="156"/>
    <x v="0"/>
    <x v="0"/>
    <x v="9"/>
    <x v="9"/>
    <x v="0"/>
    <x v="52"/>
    <x v="229"/>
    <x v="0"/>
    <x v="0"/>
    <x v="1"/>
    <x v="0"/>
  </r>
  <r>
    <x v="238"/>
    <x v="111"/>
    <x v="156"/>
    <x v="1"/>
    <x v="0"/>
    <x v="3"/>
    <x v="3"/>
    <x v="0"/>
    <x v="50"/>
    <x v="78"/>
    <x v="0"/>
    <x v="0"/>
    <x v="1"/>
    <x v="0"/>
  </r>
  <r>
    <x v="239"/>
    <x v="112"/>
    <x v="157"/>
    <x v="4"/>
    <x v="0"/>
    <x v="9"/>
    <x v="9"/>
    <x v="0"/>
    <x v="16"/>
    <x v="51"/>
    <x v="0"/>
    <x v="0"/>
    <x v="1"/>
    <x v="18"/>
  </r>
  <r>
    <x v="240"/>
    <x v="113"/>
    <x v="158"/>
    <x v="5"/>
    <x v="0"/>
    <x v="6"/>
    <x v="6"/>
    <x v="0"/>
    <x v="49"/>
    <x v="246"/>
    <x v="0"/>
    <x v="0"/>
    <x v="1"/>
    <x v="0"/>
  </r>
  <r>
    <x v="241"/>
    <x v="113"/>
    <x v="115"/>
    <x v="4"/>
    <x v="0"/>
    <x v="9"/>
    <x v="9"/>
    <x v="0"/>
    <x v="16"/>
    <x v="51"/>
    <x v="0"/>
    <x v="0"/>
    <x v="1"/>
    <x v="0"/>
  </r>
  <r>
    <x v="241"/>
    <x v="113"/>
    <x v="115"/>
    <x v="0"/>
    <x v="0"/>
    <x v="59"/>
    <x v="66"/>
    <x v="0"/>
    <x v="52"/>
    <x v="262"/>
    <x v="0"/>
    <x v="0"/>
    <x v="1"/>
    <x v="0"/>
  </r>
  <r>
    <x v="241"/>
    <x v="113"/>
    <x v="115"/>
    <x v="0"/>
    <x v="0"/>
    <x v="25"/>
    <x v="24"/>
    <x v="0"/>
    <x v="52"/>
    <x v="222"/>
    <x v="0"/>
    <x v="0"/>
    <x v="1"/>
    <x v="6"/>
  </r>
  <r>
    <x v="241"/>
    <x v="113"/>
    <x v="115"/>
    <x v="5"/>
    <x v="0"/>
    <x v="24"/>
    <x v="23"/>
    <x v="0"/>
    <x v="49"/>
    <x v="263"/>
    <x v="0"/>
    <x v="0"/>
    <x v="1"/>
    <x v="0"/>
  </r>
  <r>
    <x v="242"/>
    <x v="113"/>
    <x v="159"/>
    <x v="0"/>
    <x v="0"/>
    <x v="7"/>
    <x v="7"/>
    <x v="0"/>
    <x v="52"/>
    <x v="126"/>
    <x v="0"/>
    <x v="0"/>
    <x v="1"/>
    <x v="0"/>
  </r>
  <r>
    <x v="242"/>
    <x v="113"/>
    <x v="159"/>
    <x v="6"/>
    <x v="0"/>
    <x v="12"/>
    <x v="11"/>
    <x v="0"/>
    <x v="49"/>
    <x v="228"/>
    <x v="0"/>
    <x v="0"/>
    <x v="1"/>
    <x v="0"/>
  </r>
  <r>
    <x v="242"/>
    <x v="113"/>
    <x v="159"/>
    <x v="8"/>
    <x v="0"/>
    <x v="7"/>
    <x v="7"/>
    <x v="0"/>
    <x v="51"/>
    <x v="264"/>
    <x v="0"/>
    <x v="0"/>
    <x v="1"/>
    <x v="0"/>
  </r>
  <r>
    <x v="242"/>
    <x v="113"/>
    <x v="159"/>
    <x v="13"/>
    <x v="0"/>
    <x v="20"/>
    <x v="19"/>
    <x v="0"/>
    <x v="16"/>
    <x v="115"/>
    <x v="0"/>
    <x v="0"/>
    <x v="1"/>
    <x v="0"/>
  </r>
  <r>
    <x v="243"/>
    <x v="114"/>
    <x v="160"/>
    <x v="1"/>
    <x v="0"/>
    <x v="4"/>
    <x v="4"/>
    <x v="0"/>
    <x v="53"/>
    <x v="265"/>
    <x v="0"/>
    <x v="1"/>
    <x v="1"/>
    <x v="0"/>
  </r>
  <r>
    <x v="243"/>
    <x v="114"/>
    <x v="160"/>
    <x v="0"/>
    <x v="0"/>
    <x v="60"/>
    <x v="67"/>
    <x v="0"/>
    <x v="5"/>
    <x v="266"/>
    <x v="0"/>
    <x v="1"/>
    <x v="1"/>
    <x v="0"/>
  </r>
  <r>
    <x v="243"/>
    <x v="114"/>
    <x v="160"/>
    <x v="6"/>
    <x v="0"/>
    <x v="61"/>
    <x v="68"/>
    <x v="0"/>
    <x v="54"/>
    <x v="267"/>
    <x v="0"/>
    <x v="1"/>
    <x v="1"/>
    <x v="0"/>
  </r>
  <r>
    <x v="243"/>
    <x v="114"/>
    <x v="160"/>
    <x v="15"/>
    <x v="0"/>
    <x v="27"/>
    <x v="69"/>
    <x v="0"/>
    <x v="55"/>
    <x v="268"/>
    <x v="0"/>
    <x v="1"/>
    <x v="1"/>
    <x v="0"/>
  </r>
  <r>
    <x v="243"/>
    <x v="114"/>
    <x v="160"/>
    <x v="18"/>
    <x v="0"/>
    <x v="9"/>
    <x v="9"/>
    <x v="0"/>
    <x v="56"/>
    <x v="269"/>
    <x v="0"/>
    <x v="1"/>
    <x v="1"/>
    <x v="0"/>
  </r>
  <r>
    <x v="243"/>
    <x v="114"/>
    <x v="160"/>
    <x v="19"/>
    <x v="0"/>
    <x v="9"/>
    <x v="9"/>
    <x v="0"/>
    <x v="57"/>
    <x v="270"/>
    <x v="0"/>
    <x v="1"/>
    <x v="1"/>
    <x v="0"/>
  </r>
  <r>
    <x v="243"/>
    <x v="114"/>
    <x v="160"/>
    <x v="20"/>
    <x v="0"/>
    <x v="1"/>
    <x v="1"/>
    <x v="0"/>
    <x v="58"/>
    <x v="271"/>
    <x v="0"/>
    <x v="1"/>
    <x v="1"/>
    <x v="0"/>
  </r>
  <r>
    <x v="206"/>
    <x v="115"/>
    <x v="142"/>
    <x v="5"/>
    <x v="0"/>
    <x v="8"/>
    <x v="8"/>
    <x v="0"/>
    <x v="49"/>
    <x v="272"/>
    <x v="0"/>
    <x v="0"/>
    <x v="1"/>
    <x v="0"/>
  </r>
  <r>
    <x v="244"/>
    <x v="115"/>
    <x v="7"/>
    <x v="0"/>
    <x v="0"/>
    <x v="1"/>
    <x v="1"/>
    <x v="0"/>
    <x v="18"/>
    <x v="72"/>
    <x v="0"/>
    <x v="0"/>
    <x v="1"/>
    <x v="0"/>
  </r>
  <r>
    <x v="245"/>
    <x v="115"/>
    <x v="7"/>
    <x v="0"/>
    <x v="0"/>
    <x v="12"/>
    <x v="11"/>
    <x v="0"/>
    <x v="18"/>
    <x v="64"/>
    <x v="0"/>
    <x v="0"/>
    <x v="1"/>
    <x v="0"/>
  </r>
  <r>
    <x v="246"/>
    <x v="116"/>
    <x v="161"/>
    <x v="0"/>
    <x v="0"/>
    <x v="7"/>
    <x v="7"/>
    <x v="0"/>
    <x v="52"/>
    <x v="126"/>
    <x v="0"/>
    <x v="0"/>
    <x v="1"/>
    <x v="0"/>
  </r>
  <r>
    <x v="246"/>
    <x v="116"/>
    <x v="161"/>
    <x v="5"/>
    <x v="0"/>
    <x v="24"/>
    <x v="23"/>
    <x v="0"/>
    <x v="49"/>
    <x v="263"/>
    <x v="0"/>
    <x v="0"/>
    <x v="1"/>
    <x v="0"/>
  </r>
  <r>
    <x v="247"/>
    <x v="116"/>
    <x v="162"/>
    <x v="5"/>
    <x v="0"/>
    <x v="6"/>
    <x v="6"/>
    <x v="0"/>
    <x v="49"/>
    <x v="246"/>
    <x v="0"/>
    <x v="0"/>
    <x v="1"/>
    <x v="0"/>
  </r>
  <r>
    <x v="248"/>
    <x v="116"/>
    <x v="16"/>
    <x v="0"/>
    <x v="0"/>
    <x v="14"/>
    <x v="13"/>
    <x v="0"/>
    <x v="52"/>
    <x v="233"/>
    <x v="0"/>
    <x v="0"/>
    <x v="1"/>
    <x v="0"/>
  </r>
  <r>
    <x v="248"/>
    <x v="116"/>
    <x v="16"/>
    <x v="5"/>
    <x v="0"/>
    <x v="33"/>
    <x v="33"/>
    <x v="0"/>
    <x v="49"/>
    <x v="273"/>
    <x v="0"/>
    <x v="0"/>
    <x v="1"/>
    <x v="0"/>
  </r>
  <r>
    <x v="249"/>
    <x v="117"/>
    <x v="16"/>
    <x v="0"/>
    <x v="0"/>
    <x v="6"/>
    <x v="6"/>
    <x v="0"/>
    <x v="52"/>
    <x v="220"/>
    <x v="0"/>
    <x v="0"/>
    <x v="1"/>
    <x v="0"/>
  </r>
  <r>
    <x v="249"/>
    <x v="117"/>
    <x v="16"/>
    <x v="5"/>
    <x v="0"/>
    <x v="20"/>
    <x v="19"/>
    <x v="0"/>
    <x v="49"/>
    <x v="237"/>
    <x v="0"/>
    <x v="0"/>
    <x v="1"/>
    <x v="0"/>
  </r>
  <r>
    <x v="249"/>
    <x v="117"/>
    <x v="16"/>
    <x v="4"/>
    <x v="0"/>
    <x v="8"/>
    <x v="8"/>
    <x v="0"/>
    <x v="16"/>
    <x v="274"/>
    <x v="0"/>
    <x v="0"/>
    <x v="1"/>
    <x v="0"/>
  </r>
  <r>
    <x v="250"/>
    <x v="118"/>
    <x v="59"/>
    <x v="6"/>
    <x v="0"/>
    <x v="9"/>
    <x v="9"/>
    <x v="0"/>
    <x v="9"/>
    <x v="15"/>
    <x v="0"/>
    <x v="1"/>
    <x v="0"/>
    <x v="0"/>
  </r>
  <r>
    <x v="251"/>
    <x v="119"/>
    <x v="163"/>
    <x v="1"/>
    <x v="0"/>
    <x v="24"/>
    <x v="23"/>
    <x v="0"/>
    <x v="50"/>
    <x v="231"/>
    <x v="0"/>
    <x v="0"/>
    <x v="1"/>
    <x v="0"/>
  </r>
  <r>
    <x v="251"/>
    <x v="119"/>
    <x v="163"/>
    <x v="5"/>
    <x v="0"/>
    <x v="24"/>
    <x v="23"/>
    <x v="0"/>
    <x v="49"/>
    <x v="263"/>
    <x v="0"/>
    <x v="0"/>
    <x v="1"/>
    <x v="0"/>
  </r>
  <r>
    <x v="252"/>
    <x v="119"/>
    <x v="164"/>
    <x v="5"/>
    <x v="0"/>
    <x v="1"/>
    <x v="1"/>
    <x v="0"/>
    <x v="49"/>
    <x v="275"/>
    <x v="0"/>
    <x v="0"/>
    <x v="1"/>
    <x v="0"/>
  </r>
  <r>
    <x v="252"/>
    <x v="119"/>
    <x v="164"/>
    <x v="4"/>
    <x v="0"/>
    <x v="7"/>
    <x v="7"/>
    <x v="0"/>
    <x v="16"/>
    <x v="87"/>
    <x v="0"/>
    <x v="0"/>
    <x v="1"/>
    <x v="0"/>
  </r>
  <r>
    <x v="253"/>
    <x v="119"/>
    <x v="165"/>
    <x v="0"/>
    <x v="0"/>
    <x v="14"/>
    <x v="13"/>
    <x v="0"/>
    <x v="52"/>
    <x v="233"/>
    <x v="0"/>
    <x v="0"/>
    <x v="1"/>
    <x v="0"/>
  </r>
  <r>
    <x v="254"/>
    <x v="119"/>
    <x v="128"/>
    <x v="5"/>
    <x v="1"/>
    <x v="7"/>
    <x v="1"/>
    <x v="0"/>
    <x v="10"/>
    <x v="276"/>
    <x v="0"/>
    <x v="1"/>
    <x v="0"/>
    <x v="0"/>
  </r>
  <r>
    <x v="255"/>
    <x v="119"/>
    <x v="16"/>
    <x v="0"/>
    <x v="0"/>
    <x v="1"/>
    <x v="1"/>
    <x v="0"/>
    <x v="52"/>
    <x v="225"/>
    <x v="0"/>
    <x v="0"/>
    <x v="1"/>
    <x v="0"/>
  </r>
  <r>
    <x v="256"/>
    <x v="120"/>
    <x v="25"/>
    <x v="1"/>
    <x v="0"/>
    <x v="20"/>
    <x v="19"/>
    <x v="0"/>
    <x v="59"/>
    <x v="277"/>
    <x v="0"/>
    <x v="0"/>
    <x v="1"/>
    <x v="0"/>
  </r>
  <r>
    <x v="256"/>
    <x v="120"/>
    <x v="25"/>
    <x v="0"/>
    <x v="0"/>
    <x v="14"/>
    <x v="13"/>
    <x v="0"/>
    <x v="20"/>
    <x v="278"/>
    <x v="0"/>
    <x v="0"/>
    <x v="1"/>
    <x v="0"/>
  </r>
  <r>
    <x v="256"/>
    <x v="120"/>
    <x v="25"/>
    <x v="5"/>
    <x v="0"/>
    <x v="14"/>
    <x v="13"/>
    <x v="0"/>
    <x v="30"/>
    <x v="279"/>
    <x v="0"/>
    <x v="0"/>
    <x v="1"/>
    <x v="0"/>
  </r>
  <r>
    <x v="0"/>
    <x v="121"/>
    <x v="166"/>
    <x v="21"/>
    <x v="2"/>
    <x v="29"/>
    <x v="70"/>
    <x v="1"/>
    <x v="23"/>
    <x v="83"/>
    <x v="0"/>
    <x v="2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 chartFormat="4">
  <location ref="A3:E24" firstHeaderRow="0" firstDataRow="1" firstDataCol="2"/>
  <pivotFields count="14">
    <pivotField compact="0" showAll="0">
      <items count="2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t="default"/>
      </items>
    </pivotField>
    <pivotField compact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compact="0" showAll="0">
      <items count="168">
        <item x="119"/>
        <item x="24"/>
        <item x="8"/>
        <item x="82"/>
        <item x="10"/>
        <item x="75"/>
        <item x="6"/>
        <item x="0"/>
        <item x="95"/>
        <item x="144"/>
        <item x="23"/>
        <item x="164"/>
        <item x="79"/>
        <item x="74"/>
        <item x="146"/>
        <item x="68"/>
        <item x="108"/>
        <item x="32"/>
        <item x="44"/>
        <item x="106"/>
        <item x="159"/>
        <item x="96"/>
        <item x="85"/>
        <item x="58"/>
        <item x="140"/>
        <item x="45"/>
        <item x="139"/>
        <item x="63"/>
        <item x="16"/>
        <item x="14"/>
        <item x="51"/>
        <item x="104"/>
        <item x="152"/>
        <item x="88"/>
        <item x="114"/>
        <item x="28"/>
        <item x="64"/>
        <item x="99"/>
        <item x="50"/>
        <item x="80"/>
        <item x="162"/>
        <item x="66"/>
        <item x="154"/>
        <item x="124"/>
        <item x="81"/>
        <item x="153"/>
        <item x="35"/>
        <item x="55"/>
        <item x="47"/>
        <item x="38"/>
        <item x="118"/>
        <item x="65"/>
        <item x="57"/>
        <item x="161"/>
        <item x="48"/>
        <item x="37"/>
        <item x="115"/>
        <item x="150"/>
        <item x="127"/>
        <item x="116"/>
        <item x="86"/>
        <item x="112"/>
        <item x="91"/>
        <item x="157"/>
        <item x="78"/>
        <item x="141"/>
        <item x="46"/>
        <item x="142"/>
        <item x="151"/>
        <item x="70"/>
        <item x="12"/>
        <item x="111"/>
        <item x="105"/>
        <item x="145"/>
        <item x="126"/>
        <item x="125"/>
        <item x="138"/>
        <item x="54"/>
        <item x="83"/>
        <item x="43"/>
        <item x="137"/>
        <item x="149"/>
        <item x="134"/>
        <item x="87"/>
        <item x="41"/>
        <item x="84"/>
        <item x="98"/>
        <item x="107"/>
        <item x="123"/>
        <item x="122"/>
        <item x="27"/>
        <item x="135"/>
        <item x="49"/>
        <item x="56"/>
        <item x="156"/>
        <item x="71"/>
        <item x="72"/>
        <item x="92"/>
        <item x="131"/>
        <item x="31"/>
        <item x="18"/>
        <item x="34"/>
        <item x="29"/>
        <item x="21"/>
        <item x="30"/>
        <item x="20"/>
        <item x="61"/>
        <item x="60"/>
        <item x="26"/>
        <item x="143"/>
        <item x="53"/>
        <item x="22"/>
        <item x="77"/>
        <item x="52"/>
        <item x="62"/>
        <item x="19"/>
        <item x="109"/>
        <item x="132"/>
        <item x="158"/>
        <item x="110"/>
        <item x="121"/>
        <item x="155"/>
        <item x="73"/>
        <item x="163"/>
        <item x="136"/>
        <item x="129"/>
        <item x="130"/>
        <item x="90"/>
        <item x="42"/>
        <item x="103"/>
        <item x="39"/>
        <item x="165"/>
        <item x="148"/>
        <item x="117"/>
        <item x="69"/>
        <item x="97"/>
        <item x="13"/>
        <item x="147"/>
        <item x="76"/>
        <item x="7"/>
        <item x="11"/>
        <item x="36"/>
        <item x="93"/>
        <item x="128"/>
        <item x="33"/>
        <item x="133"/>
        <item x="101"/>
        <item x="15"/>
        <item x="25"/>
        <item x="120"/>
        <item x="100"/>
        <item x="4"/>
        <item x="160"/>
        <item x="59"/>
        <item x="2"/>
        <item x="67"/>
        <item x="94"/>
        <item x="40"/>
        <item x="102"/>
        <item x="9"/>
        <item x="3"/>
        <item x="1"/>
        <item x="113"/>
        <item x="5"/>
        <item x="89"/>
        <item x="17"/>
        <item x="166"/>
        <item t="default"/>
      </items>
    </pivotField>
    <pivotField axis="axisRow" compact="0" showAll="0">
      <items count="23">
        <item x="0"/>
        <item x="6"/>
        <item x="5"/>
        <item x="1"/>
        <item x="15"/>
        <item x="8"/>
        <item x="10"/>
        <item x="11"/>
        <item x="12"/>
        <item x="17"/>
        <item x="14"/>
        <item x="9"/>
        <item x="18"/>
        <item x="7"/>
        <item x="19"/>
        <item x="13"/>
        <item x="20"/>
        <item x="16"/>
        <item x="2"/>
        <item x="3"/>
        <item x="4"/>
        <item x="21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dataField="1" compact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dataField="1" compact="0" showAll="0">
      <items count="2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axis="axisRow" compact="0" multipleItemSelectionAllowed="1" showAll="0">
      <items count="4">
        <item h="1" x="0"/>
        <item x="1"/>
        <item h="1"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2">
    <field x="3"/>
    <field x="11"/>
  </rowFields>
  <rowItems count="21">
    <i>
      <x/>
    </i>
    <i r="1">
      <x v="1"/>
    </i>
    <i>
      <x v="1"/>
    </i>
    <i r="1">
      <x v="1"/>
    </i>
    <i>
      <x v="2"/>
    </i>
    <i r="1">
      <x v="1"/>
    </i>
    <i>
      <x v="3"/>
    </i>
    <i r="1">
      <x v="1"/>
    </i>
    <i>
      <x v="4"/>
    </i>
    <i r="1">
      <x v="1"/>
    </i>
    <i>
      <x v="12"/>
    </i>
    <i r="1">
      <x v="1"/>
    </i>
    <i>
      <x v="14"/>
    </i>
    <i r="1">
      <x v="1"/>
    </i>
    <i>
      <x v="16"/>
    </i>
    <i r="1">
      <x v="1"/>
    </i>
    <i>
      <x v="19"/>
    </i>
    <i r="1">
      <x v="1"/>
    </i>
    <i>
      <x v="20"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数    量" fld="6" baseField="0" baseItem="0"/>
    <dataField name="求和项:箱数" fld="5" baseField="0" baseItem="0"/>
    <dataField name="求和项:金    额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表2" displayName="表2" ref="A1:N8" totalsRowShown="0">
  <autoFilter xmlns:etc="http://www.wps.cn/officeDocument/2017/etCustomData" ref="A1:N8" etc:filterBottomFollowUsedRange="0"/>
  <tableColumns count="14">
    <tableColumn id="1" name="订单编号"/>
    <tableColumn id="2" name="发货日期" dataDxfId="0"/>
    <tableColumn id="3" name="客户"/>
    <tableColumn id="4" name="商品名称"/>
    <tableColumn id="5" name="箱规"/>
    <tableColumn id="6" name="箱数"/>
    <tableColumn id="7" name="数    量"/>
    <tableColumn id="8" name="单    位"/>
    <tableColumn id="9" name="销售单价"/>
    <tableColumn id="10" name="金    额"/>
    <tableColumn id="11" name="运费"/>
    <tableColumn id="12" name="是否开票"/>
    <tableColumn id="13" name="完结"/>
    <tableColumn id="14" name="备注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8"/>
  <sheetViews>
    <sheetView workbookViewId="0">
      <selection activeCell="A1" sqref="A1"/>
    </sheetView>
  </sheetViews>
  <sheetFormatPr defaultColWidth="8.72727272727273" defaultRowHeight="14" outlineLevelRow="7"/>
  <cols>
    <col min="2" max="2" width="10.6363636363636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B2" s="107">
        <v>46028</v>
      </c>
      <c r="C2" t="s">
        <v>14</v>
      </c>
      <c r="D2" t="s">
        <v>15</v>
      </c>
      <c r="E2">
        <v>12</v>
      </c>
      <c r="F2">
        <v>80</v>
      </c>
      <c r="G2">
        <v>960</v>
      </c>
      <c r="H2" t="s">
        <v>16</v>
      </c>
      <c r="I2">
        <v>13.5</v>
      </c>
      <c r="J2">
        <v>12960</v>
      </c>
      <c r="L2" t="s">
        <v>17</v>
      </c>
      <c r="M2" t="s">
        <v>17</v>
      </c>
    </row>
    <row r="3" spans="1:14">
      <c r="B3" s="107">
        <v>46028</v>
      </c>
      <c r="C3" t="s">
        <v>18</v>
      </c>
      <c r="D3" t="s">
        <v>15</v>
      </c>
      <c r="E3">
        <v>12</v>
      </c>
      <c r="F3">
        <v>47</v>
      </c>
      <c r="G3">
        <v>564</v>
      </c>
      <c r="H3" t="s">
        <v>16</v>
      </c>
      <c r="I3">
        <v>15.8</v>
      </c>
      <c r="J3">
        <v>8911.2</v>
      </c>
      <c r="L3" t="s">
        <v>17</v>
      </c>
      <c r="M3" t="s">
        <v>17</v>
      </c>
    </row>
    <row r="4" spans="1:14">
      <c r="B4" s="107">
        <v>46057</v>
      </c>
      <c r="C4" t="s">
        <v>14</v>
      </c>
      <c r="D4" t="s">
        <v>15</v>
      </c>
      <c r="E4">
        <v>12</v>
      </c>
      <c r="F4">
        <v>80</v>
      </c>
      <c r="G4">
        <v>960</v>
      </c>
      <c r="H4" t="s">
        <v>16</v>
      </c>
      <c r="I4">
        <v>13.5</v>
      </c>
      <c r="J4">
        <v>12960</v>
      </c>
      <c r="L4" t="s">
        <v>17</v>
      </c>
      <c r="M4" t="s">
        <v>17</v>
      </c>
    </row>
    <row r="5" spans="1:14">
      <c r="A5" t="s">
        <v>19</v>
      </c>
      <c r="B5" s="107">
        <v>46141</v>
      </c>
      <c r="C5" t="s">
        <v>20</v>
      </c>
      <c r="D5" t="s">
        <v>15</v>
      </c>
      <c r="E5">
        <v>12</v>
      </c>
      <c r="F5">
        <v>3</v>
      </c>
      <c r="G5">
        <v>36</v>
      </c>
      <c r="H5" t="s">
        <v>16</v>
      </c>
      <c r="I5">
        <v>13.5</v>
      </c>
      <c r="J5">
        <v>486</v>
      </c>
      <c r="L5" t="s">
        <v>17</v>
      </c>
      <c r="M5" t="s">
        <v>17</v>
      </c>
    </row>
    <row r="6" spans="1:14">
      <c r="A6" t="s">
        <v>21</v>
      </c>
      <c r="B6" s="107">
        <v>46160</v>
      </c>
      <c r="C6" t="s">
        <v>22</v>
      </c>
      <c r="D6" t="s">
        <v>15</v>
      </c>
      <c r="E6">
        <v>12</v>
      </c>
      <c r="F6">
        <v>30</v>
      </c>
      <c r="G6">
        <v>360</v>
      </c>
      <c r="H6" t="s">
        <v>16</v>
      </c>
      <c r="I6">
        <v>15.8</v>
      </c>
      <c r="J6">
        <v>5688</v>
      </c>
      <c r="L6" t="s">
        <v>17</v>
      </c>
      <c r="M6" t="s">
        <v>17</v>
      </c>
    </row>
    <row r="7" spans="1:14">
      <c r="A7" t="s">
        <v>23</v>
      </c>
      <c r="B7" s="107">
        <v>46209</v>
      </c>
      <c r="C7" t="s">
        <v>22</v>
      </c>
      <c r="D7" t="s">
        <v>15</v>
      </c>
      <c r="E7">
        <v>12</v>
      </c>
      <c r="F7">
        <v>100</v>
      </c>
      <c r="G7">
        <v>1200</v>
      </c>
      <c r="H7" t="s">
        <v>16</v>
      </c>
      <c r="I7">
        <v>15.8</v>
      </c>
      <c r="J7">
        <v>18960</v>
      </c>
      <c r="L7" t="s">
        <v>17</v>
      </c>
    </row>
    <row r="8" spans="1:14">
      <c r="A8" t="s">
        <v>24</v>
      </c>
      <c r="B8" s="107">
        <v>46227</v>
      </c>
      <c r="C8" t="s">
        <v>25</v>
      </c>
      <c r="D8" t="s">
        <v>15</v>
      </c>
      <c r="E8">
        <v>12</v>
      </c>
      <c r="F8">
        <v>370</v>
      </c>
      <c r="G8">
        <v>4440</v>
      </c>
      <c r="H8" t="s">
        <v>16</v>
      </c>
      <c r="I8">
        <v>13.5</v>
      </c>
      <c r="J8">
        <v>59940</v>
      </c>
      <c r="L8" t="s">
        <v>17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3:H24"/>
  <sheetViews>
    <sheetView zoomScale="130" zoomScaleNormal="130" workbookViewId="0">
      <selection activeCell="E23" sqref="E4:E23"/>
    </sheetView>
  </sheetViews>
  <sheetFormatPr defaultColWidth="8.72727272727273" defaultRowHeight="14" outlineLevelCol="7"/>
  <cols>
    <col min="1" max="1" width="37.6363636363636"/>
    <col min="2" max="2" width="11.9090909090909"/>
    <col min="3" max="5" width="17.3636363636364"/>
    <col min="7" max="7" width="11.7272727272727"/>
    <col min="8" max="8" width="25.3090909090909" customWidth="1"/>
  </cols>
  <sheetData>
    <row r="3" spans="1:8">
      <c r="A3" t="s">
        <v>3</v>
      </c>
      <c r="B3" t="s">
        <v>11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1:8">
      <c r="A4" t="s">
        <v>15</v>
      </c>
      <c r="C4">
        <v>8520</v>
      </c>
      <c r="D4">
        <v>710</v>
      </c>
      <c r="E4">
        <v>119905.2</v>
      </c>
      <c r="F4">
        <v>10.7</v>
      </c>
      <c r="G4">
        <f t="shared" ref="G4:G24" si="0">GETPIVOTDATA("求和项:数    量",$A$3,"商品名称","2001 三层文件盘（尖角）")*F4</f>
        <v>91164</v>
      </c>
    </row>
    <row r="5" spans="1:8">
      <c r="B5" t="s">
        <v>17</v>
      </c>
      <c r="C5">
        <v>8520</v>
      </c>
      <c r="D5">
        <v>710</v>
      </c>
      <c r="E5">
        <v>119905.2</v>
      </c>
      <c r="F5">
        <v>12.89</v>
      </c>
      <c r="G5">
        <f t="shared" si="0"/>
        <v>109822.8</v>
      </c>
    </row>
    <row r="6" spans="1:8">
      <c r="A6" t="s">
        <v>32</v>
      </c>
      <c r="C6">
        <v>7824</v>
      </c>
      <c r="D6">
        <v>697</v>
      </c>
      <c r="E6">
        <v>134194.752</v>
      </c>
      <c r="F6">
        <v>13.21</v>
      </c>
      <c r="G6">
        <f t="shared" si="0"/>
        <v>112549.2</v>
      </c>
    </row>
    <row r="7" spans="1:8">
      <c r="B7" t="s">
        <v>17</v>
      </c>
      <c r="C7">
        <v>7824</v>
      </c>
      <c r="D7">
        <v>697</v>
      </c>
      <c r="E7">
        <v>134194.752</v>
      </c>
      <c r="F7">
        <v>9.61</v>
      </c>
      <c r="G7">
        <f t="shared" si="0"/>
        <v>81877.2</v>
      </c>
    </row>
    <row r="8" spans="1:8">
      <c r="A8" t="s">
        <v>33</v>
      </c>
      <c r="C8">
        <v>2220</v>
      </c>
      <c r="D8">
        <v>195</v>
      </c>
      <c r="E8">
        <v>36705</v>
      </c>
      <c r="F8">
        <v>15</v>
      </c>
      <c r="G8">
        <f t="shared" si="0"/>
        <v>127800</v>
      </c>
    </row>
    <row r="9" spans="1:8">
      <c r="B9" t="s">
        <v>17</v>
      </c>
      <c r="C9">
        <v>2220</v>
      </c>
      <c r="D9">
        <v>195</v>
      </c>
      <c r="E9">
        <v>36705</v>
      </c>
      <c r="F9">
        <v>15.91</v>
      </c>
      <c r="G9">
        <f t="shared" si="0"/>
        <v>135553.2</v>
      </c>
    </row>
    <row r="10" spans="1:8">
      <c r="A10" t="s">
        <v>34</v>
      </c>
      <c r="C10">
        <v>1044</v>
      </c>
      <c r="D10">
        <v>87</v>
      </c>
      <c r="E10">
        <v>13057.2</v>
      </c>
      <c r="F10">
        <v>10.7</v>
      </c>
      <c r="G10">
        <f t="shared" si="0"/>
        <v>91164</v>
      </c>
    </row>
    <row r="11" spans="1:8">
      <c r="B11" t="s">
        <v>17</v>
      </c>
      <c r="C11">
        <v>1044</v>
      </c>
      <c r="D11">
        <v>87</v>
      </c>
      <c r="E11">
        <v>13057.2</v>
      </c>
      <c r="F11">
        <v>13.21</v>
      </c>
      <c r="G11">
        <f t="shared" si="0"/>
        <v>112549.2</v>
      </c>
    </row>
    <row r="12" spans="1:8">
      <c r="A12" t="s">
        <v>35</v>
      </c>
      <c r="C12">
        <v>1008</v>
      </c>
      <c r="D12">
        <v>84</v>
      </c>
      <c r="E12">
        <v>20139.84</v>
      </c>
      <c r="G12">
        <f t="shared" si="0"/>
        <v>0</v>
      </c>
    </row>
    <row r="13" spans="1:8">
      <c r="B13" t="s">
        <v>17</v>
      </c>
      <c r="C13">
        <v>1008</v>
      </c>
      <c r="D13">
        <v>84</v>
      </c>
      <c r="E13">
        <v>20139.84</v>
      </c>
      <c r="G13">
        <f t="shared" si="0"/>
        <v>0</v>
      </c>
    </row>
    <row r="14" spans="1:8">
      <c r="A14" t="s">
        <v>36</v>
      </c>
      <c r="C14">
        <v>120</v>
      </c>
      <c r="D14">
        <v>10</v>
      </c>
      <c r="E14">
        <v>1684.8</v>
      </c>
      <c r="G14">
        <f t="shared" si="0"/>
        <v>0</v>
      </c>
    </row>
    <row r="15" spans="1:8">
      <c r="B15" t="s">
        <v>17</v>
      </c>
      <c r="C15">
        <v>120</v>
      </c>
      <c r="D15">
        <v>10</v>
      </c>
      <c r="E15">
        <v>1684.8</v>
      </c>
      <c r="F15">
        <v>8.71</v>
      </c>
      <c r="G15">
        <f t="shared" si="0"/>
        <v>74209.2</v>
      </c>
    </row>
    <row r="16" spans="1:8">
      <c r="A16" t="s">
        <v>37</v>
      </c>
      <c r="C16">
        <v>120</v>
      </c>
      <c r="D16">
        <v>10</v>
      </c>
      <c r="E16">
        <v>2073.6</v>
      </c>
      <c r="F16">
        <v>8.91</v>
      </c>
      <c r="G16">
        <f t="shared" si="0"/>
        <v>75913.2</v>
      </c>
    </row>
    <row r="17" spans="1:7">
      <c r="B17" t="s">
        <v>17</v>
      </c>
      <c r="C17">
        <v>120</v>
      </c>
      <c r="D17">
        <v>10</v>
      </c>
      <c r="E17">
        <v>2073.6</v>
      </c>
      <c r="F17">
        <v>11.47</v>
      </c>
      <c r="G17">
        <f t="shared" si="0"/>
        <v>97724.4</v>
      </c>
    </row>
    <row r="18" spans="1:7">
      <c r="A18" t="s">
        <v>38</v>
      </c>
      <c r="C18">
        <v>240</v>
      </c>
      <c r="D18">
        <v>20</v>
      </c>
      <c r="E18">
        <v>5002.56</v>
      </c>
      <c r="F18">
        <v>12.12</v>
      </c>
      <c r="G18">
        <f t="shared" si="0"/>
        <v>103262.4</v>
      </c>
    </row>
    <row r="19" spans="1:7">
      <c r="B19" t="s">
        <v>17</v>
      </c>
      <c r="C19">
        <v>240</v>
      </c>
      <c r="D19">
        <v>20</v>
      </c>
      <c r="E19">
        <v>5002.56</v>
      </c>
      <c r="F19">
        <v>14.12</v>
      </c>
      <c r="G19">
        <f t="shared" si="0"/>
        <v>120302.4</v>
      </c>
    </row>
    <row r="20" spans="1:7">
      <c r="A20" t="s">
        <v>39</v>
      </c>
      <c r="C20">
        <v>2760</v>
      </c>
      <c r="D20">
        <v>230</v>
      </c>
      <c r="E20">
        <v>45606.24</v>
      </c>
      <c r="F20">
        <v>14.93</v>
      </c>
      <c r="G20">
        <f t="shared" si="0"/>
        <v>127203.6</v>
      </c>
    </row>
    <row r="21" spans="1:7">
      <c r="B21" t="s">
        <v>17</v>
      </c>
      <c r="C21">
        <v>2760</v>
      </c>
      <c r="D21">
        <v>230</v>
      </c>
      <c r="E21">
        <v>45606.24</v>
      </c>
      <c r="F21">
        <v>6.08</v>
      </c>
      <c r="G21">
        <f t="shared" si="0"/>
        <v>51801.6</v>
      </c>
    </row>
    <row r="22" spans="1:7">
      <c r="A22" t="s">
        <v>40</v>
      </c>
      <c r="C22">
        <v>3120</v>
      </c>
      <c r="D22">
        <v>260</v>
      </c>
      <c r="E22">
        <v>63011.52</v>
      </c>
      <c r="F22">
        <v>8.71</v>
      </c>
      <c r="G22">
        <f t="shared" si="0"/>
        <v>74209.2</v>
      </c>
    </row>
    <row r="23" spans="1:7">
      <c r="B23" t="s">
        <v>17</v>
      </c>
      <c r="C23">
        <v>3120</v>
      </c>
      <c r="D23">
        <v>260</v>
      </c>
      <c r="E23">
        <v>63011.52</v>
      </c>
      <c r="F23">
        <v>11.47</v>
      </c>
      <c r="G23">
        <f t="shared" si="0"/>
        <v>97724.4</v>
      </c>
    </row>
    <row r="24" spans="1:7">
      <c r="A24" t="s">
        <v>41</v>
      </c>
      <c r="C24">
        <v>26976</v>
      </c>
      <c r="D24">
        <v>2303</v>
      </c>
      <c r="E24">
        <v>441380.712</v>
      </c>
      <c r="F24">
        <v>14.12</v>
      </c>
      <c r="G24">
        <f t="shared" si="0"/>
        <v>120302.4</v>
      </c>
    </row>
  </sheetData>
  <pageMargins left="0.75" right="0.75" top="1" bottom="1" header="0.5" footer="0.5"/>
  <headerFooter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1:U610"/>
  <sheetViews>
    <sheetView zoomScale="130" zoomScaleNormal="130" topLeftCell="A226" workbookViewId="0">
      <selection activeCell="I58" sqref="I58"/>
    </sheetView>
  </sheetViews>
  <sheetFormatPr defaultColWidth="8.72727272727273" defaultRowHeight="15"/>
  <cols>
    <col min="1" max="1" width="46.7272727272727" style="6" customWidth="1"/>
    <col min="2" max="2" width="12.3636363636364" style="6" customWidth="1"/>
    <col min="3" max="3" width="34.9090909090909" style="6" customWidth="1"/>
    <col min="4" max="4" width="43.4545454545455" style="6" customWidth="1"/>
    <col min="5" max="5" width="5.18181818181818" style="6" customWidth="1"/>
    <col min="6" max="6" width="6.27272727272727" style="6" customWidth="1"/>
    <col min="7" max="7" width="7.72727272727273" style="6" customWidth="1"/>
    <col min="8" max="8" width="7.36363636363636" style="6" customWidth="1"/>
    <col min="9" max="9" width="10.6363636363636" style="6" customWidth="1"/>
    <col min="10" max="10" width="13.9090909090909" style="6" customWidth="1"/>
    <col min="11" max="11" width="6.36363636363636" style="6" customWidth="1"/>
    <col min="12" max="12" width="8.81818181818182" style="6" customWidth="1"/>
    <col min="13" max="13" width="5.18181818181818" style="6" customWidth="1"/>
    <col min="14" max="14" width="66.3636363636364" style="6" customWidth="1"/>
    <col min="15" max="16384" width="8.72727272727273" style="6"/>
  </cols>
  <sheetData>
    <row r="1" s="6" customFormat="1" spans="1:14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3" t="s">
        <v>6</v>
      </c>
      <c r="H1" s="12" t="s">
        <v>7</v>
      </c>
      <c r="I1" s="14" t="s">
        <v>8</v>
      </c>
      <c r="J1" s="14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="6" customFormat="1" hidden="1" spans="1:14">
      <c r="A2" s="7"/>
      <c r="B2" s="15">
        <v>46027</v>
      </c>
      <c r="C2" s="7" t="s">
        <v>42</v>
      </c>
      <c r="D2" s="16" t="s">
        <v>15</v>
      </c>
      <c r="E2" s="7">
        <v>12</v>
      </c>
      <c r="F2" s="7">
        <v>200</v>
      </c>
      <c r="G2" s="17">
        <f t="shared" ref="G2:G65" si="0">F2*E2</f>
        <v>2400</v>
      </c>
      <c r="H2" s="17" t="s">
        <v>16</v>
      </c>
      <c r="I2" s="7">
        <v>12</v>
      </c>
      <c r="J2" s="18">
        <f t="shared" ref="J2:J65" si="1">I2*G2</f>
        <v>28800</v>
      </c>
      <c r="K2" s="7"/>
      <c r="L2" s="7" t="s">
        <v>43</v>
      </c>
      <c r="M2" s="7" t="s">
        <v>17</v>
      </c>
      <c r="N2" s="7"/>
    </row>
    <row r="3" s="6" customFormat="1" hidden="1" spans="1:14">
      <c r="A3" s="7"/>
      <c r="B3" s="15">
        <v>46028</v>
      </c>
      <c r="C3" s="7" t="s">
        <v>42</v>
      </c>
      <c r="D3" s="7" t="s">
        <v>34</v>
      </c>
      <c r="E3" s="7">
        <v>12</v>
      </c>
      <c r="F3" s="7">
        <v>20</v>
      </c>
      <c r="G3" s="17">
        <f t="shared" si="0"/>
        <v>240</v>
      </c>
      <c r="H3" s="17" t="s">
        <v>16</v>
      </c>
      <c r="I3" s="7">
        <v>10</v>
      </c>
      <c r="J3" s="18">
        <f t="shared" si="1"/>
        <v>2400</v>
      </c>
      <c r="K3" s="7"/>
      <c r="L3" s="7" t="s">
        <v>43</v>
      </c>
      <c r="M3" s="7" t="s">
        <v>17</v>
      </c>
      <c r="N3" s="7"/>
    </row>
    <row r="4" s="6" customFormat="1" hidden="1" spans="1:14">
      <c r="A4" s="7"/>
      <c r="B4" s="15">
        <v>46028</v>
      </c>
      <c r="C4" s="7" t="s">
        <v>42</v>
      </c>
      <c r="D4" s="16" t="s">
        <v>15</v>
      </c>
      <c r="E4" s="7">
        <v>12</v>
      </c>
      <c r="F4" s="7">
        <v>20</v>
      </c>
      <c r="G4" s="17">
        <f t="shared" si="0"/>
        <v>240</v>
      </c>
      <c r="H4" s="17" t="s">
        <v>16</v>
      </c>
      <c r="I4" s="7">
        <v>12</v>
      </c>
      <c r="J4" s="18">
        <f t="shared" si="1"/>
        <v>2880</v>
      </c>
      <c r="K4" s="7"/>
      <c r="L4" s="7" t="s">
        <v>43</v>
      </c>
      <c r="M4" s="7" t="s">
        <v>17</v>
      </c>
      <c r="N4" s="7"/>
    </row>
    <row r="5" s="6" customFormat="1" hidden="1" spans="1:14">
      <c r="A5" s="7"/>
      <c r="B5" s="15">
        <v>46028</v>
      </c>
      <c r="C5" s="7" t="s">
        <v>42</v>
      </c>
      <c r="D5" s="7" t="s">
        <v>44</v>
      </c>
      <c r="E5" s="7">
        <v>12</v>
      </c>
      <c r="F5" s="7">
        <v>20</v>
      </c>
      <c r="G5" s="17">
        <f t="shared" si="0"/>
        <v>240</v>
      </c>
      <c r="H5" s="17" t="s">
        <v>16</v>
      </c>
      <c r="I5" s="7">
        <v>12.8</v>
      </c>
      <c r="J5" s="18">
        <f t="shared" si="1"/>
        <v>3072</v>
      </c>
      <c r="K5" s="7"/>
      <c r="L5" s="7" t="s">
        <v>43</v>
      </c>
      <c r="M5" s="7" t="s">
        <v>17</v>
      </c>
      <c r="N5" s="7"/>
    </row>
    <row r="6" s="6" customFormat="1" hidden="1" spans="1:14">
      <c r="A6" s="7"/>
      <c r="B6" s="15">
        <v>46028</v>
      </c>
      <c r="C6" s="7" t="s">
        <v>42</v>
      </c>
      <c r="D6" s="7" t="s">
        <v>39</v>
      </c>
      <c r="E6" s="7">
        <v>12</v>
      </c>
      <c r="F6" s="7">
        <v>20</v>
      </c>
      <c r="G6" s="17">
        <f t="shared" si="0"/>
        <v>240</v>
      </c>
      <c r="H6" s="17" t="s">
        <v>16</v>
      </c>
      <c r="I6" s="7">
        <v>15</v>
      </c>
      <c r="J6" s="18">
        <f t="shared" si="1"/>
        <v>3600</v>
      </c>
      <c r="K6" s="7"/>
      <c r="L6" s="7" t="s">
        <v>43</v>
      </c>
      <c r="M6" s="7" t="s">
        <v>17</v>
      </c>
      <c r="N6" s="7"/>
    </row>
    <row r="7" s="6" customFormat="1" hidden="1" spans="1:14">
      <c r="A7" s="7"/>
      <c r="B7" s="15">
        <v>46028</v>
      </c>
      <c r="C7" s="7" t="s">
        <v>42</v>
      </c>
      <c r="D7" s="7" t="s">
        <v>40</v>
      </c>
      <c r="E7" s="7">
        <v>12</v>
      </c>
      <c r="F7" s="7">
        <v>2</v>
      </c>
      <c r="G7" s="17">
        <f t="shared" si="0"/>
        <v>24</v>
      </c>
      <c r="H7" s="17" t="s">
        <v>16</v>
      </c>
      <c r="I7" s="7">
        <v>18</v>
      </c>
      <c r="J7" s="18">
        <f t="shared" si="1"/>
        <v>432</v>
      </c>
      <c r="K7" s="7"/>
      <c r="L7" s="7" t="s">
        <v>43</v>
      </c>
      <c r="M7" s="7" t="s">
        <v>17</v>
      </c>
      <c r="N7" s="7"/>
    </row>
    <row r="8" s="6" customFormat="1" hidden="1" spans="1:14">
      <c r="A8" s="7"/>
      <c r="B8" s="15">
        <v>46028</v>
      </c>
      <c r="C8" s="7" t="s">
        <v>42</v>
      </c>
      <c r="D8" s="7" t="s">
        <v>40</v>
      </c>
      <c r="E8" s="7">
        <v>12</v>
      </c>
      <c r="F8" s="7">
        <v>2</v>
      </c>
      <c r="G8" s="17">
        <f t="shared" si="0"/>
        <v>24</v>
      </c>
      <c r="H8" s="17" t="s">
        <v>16</v>
      </c>
      <c r="I8" s="7">
        <v>18</v>
      </c>
      <c r="J8" s="18">
        <f t="shared" si="1"/>
        <v>432</v>
      </c>
      <c r="K8" s="7"/>
      <c r="L8" s="7" t="s">
        <v>43</v>
      </c>
      <c r="M8" s="7" t="s">
        <v>17</v>
      </c>
      <c r="N8" s="7"/>
    </row>
    <row r="9" s="6" customFormat="1" hidden="1" spans="1:14">
      <c r="A9" s="7"/>
      <c r="B9" s="15">
        <v>46028</v>
      </c>
      <c r="C9" s="7" t="s">
        <v>42</v>
      </c>
      <c r="D9" s="7" t="s">
        <v>40</v>
      </c>
      <c r="E9" s="7">
        <v>12</v>
      </c>
      <c r="F9" s="7">
        <v>5</v>
      </c>
      <c r="G9" s="17">
        <f t="shared" si="0"/>
        <v>60</v>
      </c>
      <c r="H9" s="17" t="s">
        <v>16</v>
      </c>
      <c r="I9" s="7">
        <v>18</v>
      </c>
      <c r="J9" s="18">
        <f t="shared" si="1"/>
        <v>1080</v>
      </c>
      <c r="K9" s="7"/>
      <c r="L9" s="7" t="s">
        <v>43</v>
      </c>
      <c r="M9" s="7" t="s">
        <v>17</v>
      </c>
      <c r="N9" s="7"/>
    </row>
    <row r="10" s="6" customFormat="1" hidden="1" spans="1:14">
      <c r="A10" s="7"/>
      <c r="B10" s="15">
        <v>46028</v>
      </c>
      <c r="C10" s="7" t="s">
        <v>42</v>
      </c>
      <c r="D10" s="7" t="s">
        <v>40</v>
      </c>
      <c r="E10" s="7">
        <v>12</v>
      </c>
      <c r="F10" s="7">
        <v>40</v>
      </c>
      <c r="G10" s="17">
        <f t="shared" si="0"/>
        <v>480</v>
      </c>
      <c r="H10" s="17" t="s">
        <v>16</v>
      </c>
      <c r="I10" s="7">
        <v>18</v>
      </c>
      <c r="J10" s="18">
        <f t="shared" si="1"/>
        <v>8640</v>
      </c>
      <c r="K10" s="7"/>
      <c r="L10" s="7" t="s">
        <v>43</v>
      </c>
      <c r="M10" s="7" t="s">
        <v>17</v>
      </c>
      <c r="N10" s="7"/>
    </row>
    <row r="11" s="6" customFormat="1" hidden="1" spans="1:14">
      <c r="A11" s="7"/>
      <c r="B11" s="15">
        <v>46028</v>
      </c>
      <c r="C11" s="7" t="s">
        <v>42</v>
      </c>
      <c r="D11" s="16" t="s">
        <v>15</v>
      </c>
      <c r="E11" s="7">
        <v>12</v>
      </c>
      <c r="F11" s="7">
        <v>175</v>
      </c>
      <c r="G11" s="17">
        <f t="shared" si="0"/>
        <v>2100</v>
      </c>
      <c r="H11" s="17" t="s">
        <v>16</v>
      </c>
      <c r="I11" s="7">
        <v>12</v>
      </c>
      <c r="J11" s="18">
        <f t="shared" si="1"/>
        <v>25200</v>
      </c>
      <c r="K11" s="7"/>
      <c r="L11" s="7" t="s">
        <v>43</v>
      </c>
      <c r="M11" s="7" t="s">
        <v>17</v>
      </c>
      <c r="N11" s="7"/>
    </row>
    <row r="12" s="6" customFormat="1" hidden="1" spans="1:14">
      <c r="A12" s="7"/>
      <c r="B12" s="15">
        <v>46028</v>
      </c>
      <c r="C12" s="7" t="s">
        <v>42</v>
      </c>
      <c r="D12" s="16" t="s">
        <v>15</v>
      </c>
      <c r="E12" s="7">
        <v>12</v>
      </c>
      <c r="F12" s="7">
        <v>100</v>
      </c>
      <c r="G12" s="17">
        <f t="shared" si="0"/>
        <v>1200</v>
      </c>
      <c r="H12" s="17" t="s">
        <v>16</v>
      </c>
      <c r="I12" s="7">
        <v>12</v>
      </c>
      <c r="J12" s="18">
        <f t="shared" si="1"/>
        <v>14400</v>
      </c>
      <c r="K12" s="7"/>
      <c r="L12" s="7" t="s">
        <v>43</v>
      </c>
      <c r="M12" s="7" t="s">
        <v>17</v>
      </c>
      <c r="N12" s="7"/>
    </row>
    <row r="13" s="6" customFormat="1" hidden="1" spans="1:14">
      <c r="A13" s="7"/>
      <c r="B13" s="15">
        <v>46028</v>
      </c>
      <c r="C13" s="7" t="s">
        <v>42</v>
      </c>
      <c r="D13" s="16" t="s">
        <v>15</v>
      </c>
      <c r="E13" s="7">
        <v>12</v>
      </c>
      <c r="F13" s="7">
        <v>30</v>
      </c>
      <c r="G13" s="17">
        <f t="shared" si="0"/>
        <v>360</v>
      </c>
      <c r="H13" s="17" t="s">
        <v>16</v>
      </c>
      <c r="I13" s="7">
        <v>12</v>
      </c>
      <c r="J13" s="18">
        <f t="shared" si="1"/>
        <v>4320</v>
      </c>
      <c r="K13" s="7"/>
      <c r="L13" s="7" t="s">
        <v>43</v>
      </c>
      <c r="M13" s="7" t="s">
        <v>17</v>
      </c>
      <c r="N13" s="7"/>
    </row>
    <row r="14" s="6" customFormat="1" hidden="1" spans="1:14">
      <c r="A14" s="7"/>
      <c r="B14" s="15">
        <v>46028</v>
      </c>
      <c r="C14" s="7" t="s">
        <v>42</v>
      </c>
      <c r="D14" s="7" t="s">
        <v>40</v>
      </c>
      <c r="E14" s="7">
        <v>12</v>
      </c>
      <c r="F14" s="7">
        <v>5</v>
      </c>
      <c r="G14" s="17">
        <f t="shared" si="0"/>
        <v>60</v>
      </c>
      <c r="H14" s="17" t="s">
        <v>16</v>
      </c>
      <c r="I14" s="7">
        <v>18</v>
      </c>
      <c r="J14" s="18">
        <f t="shared" si="1"/>
        <v>1080</v>
      </c>
      <c r="K14" s="7"/>
      <c r="L14" s="7" t="s">
        <v>43</v>
      </c>
      <c r="M14" s="7" t="s">
        <v>17</v>
      </c>
      <c r="N14" s="7"/>
    </row>
    <row r="15" s="6" customFormat="1" hidden="1" spans="1:14">
      <c r="A15" s="7"/>
      <c r="B15" s="19">
        <v>46028</v>
      </c>
      <c r="C15" s="7" t="s">
        <v>14</v>
      </c>
      <c r="D15" s="16" t="s">
        <v>15</v>
      </c>
      <c r="E15" s="17">
        <v>12</v>
      </c>
      <c r="F15" s="17">
        <v>80</v>
      </c>
      <c r="G15" s="17">
        <f t="shared" si="0"/>
        <v>960</v>
      </c>
      <c r="H15" s="17" t="s">
        <v>16</v>
      </c>
      <c r="I15" s="7">
        <v>13.5</v>
      </c>
      <c r="J15" s="18">
        <f t="shared" si="1"/>
        <v>12960</v>
      </c>
      <c r="K15" s="7"/>
      <c r="L15" s="17" t="s">
        <v>17</v>
      </c>
      <c r="M15" s="17" t="s">
        <v>17</v>
      </c>
      <c r="N15" s="17"/>
    </row>
    <row r="16" s="6" customFormat="1" hidden="1" spans="1:14">
      <c r="A16" s="7"/>
      <c r="B16" s="19">
        <v>46028</v>
      </c>
      <c r="C16" s="7" t="s">
        <v>14</v>
      </c>
      <c r="D16" s="7" t="s">
        <v>33</v>
      </c>
      <c r="E16" s="17">
        <v>12</v>
      </c>
      <c r="F16" s="17">
        <v>80</v>
      </c>
      <c r="G16" s="17">
        <f t="shared" si="0"/>
        <v>960</v>
      </c>
      <c r="H16" s="17" t="s">
        <v>16</v>
      </c>
      <c r="I16" s="20">
        <v>16.74</v>
      </c>
      <c r="J16" s="18">
        <f t="shared" si="1"/>
        <v>16070.4</v>
      </c>
      <c r="K16" s="21"/>
      <c r="L16" s="17" t="s">
        <v>17</v>
      </c>
      <c r="M16" s="17" t="s">
        <v>17</v>
      </c>
      <c r="N16" s="17"/>
    </row>
    <row r="17" s="6" customFormat="1" hidden="1" spans="1:14">
      <c r="A17" s="7"/>
      <c r="B17" s="19">
        <v>46028</v>
      </c>
      <c r="C17" s="7" t="s">
        <v>14</v>
      </c>
      <c r="D17" s="7" t="s">
        <v>39</v>
      </c>
      <c r="E17" s="17">
        <v>12</v>
      </c>
      <c r="F17" s="17">
        <v>80</v>
      </c>
      <c r="G17" s="17">
        <f t="shared" si="0"/>
        <v>960</v>
      </c>
      <c r="H17" s="17" t="s">
        <v>16</v>
      </c>
      <c r="I17" s="20">
        <v>16.524</v>
      </c>
      <c r="J17" s="18">
        <f t="shared" si="1"/>
        <v>15863.04</v>
      </c>
      <c r="K17" s="21"/>
      <c r="L17" s="17" t="s">
        <v>17</v>
      </c>
      <c r="M17" s="17" t="s">
        <v>17</v>
      </c>
      <c r="N17" s="17"/>
    </row>
    <row r="18" s="6" customFormat="1" ht="30" hidden="1" spans="1:14">
      <c r="A18" s="7"/>
      <c r="B18" s="19">
        <v>46028</v>
      </c>
      <c r="C18" s="22" t="s">
        <v>14</v>
      </c>
      <c r="D18" s="7" t="s">
        <v>40</v>
      </c>
      <c r="E18" s="17">
        <v>12</v>
      </c>
      <c r="F18" s="17">
        <v>80</v>
      </c>
      <c r="G18" s="17">
        <f t="shared" si="0"/>
        <v>960</v>
      </c>
      <c r="H18" s="17" t="s">
        <v>16</v>
      </c>
      <c r="I18" s="20">
        <v>20.196</v>
      </c>
      <c r="J18" s="18">
        <f t="shared" si="1"/>
        <v>19388.16</v>
      </c>
      <c r="K18" s="21"/>
      <c r="L18" s="17" t="s">
        <v>17</v>
      </c>
      <c r="M18" s="17" t="s">
        <v>17</v>
      </c>
      <c r="N18" s="17"/>
    </row>
    <row r="19" s="6" customFormat="1" hidden="1" spans="1:14">
      <c r="A19" s="7"/>
      <c r="B19" s="19">
        <v>46028</v>
      </c>
      <c r="C19" s="7" t="s">
        <v>45</v>
      </c>
      <c r="D19" s="7" t="s">
        <v>33</v>
      </c>
      <c r="E19" s="17">
        <v>12</v>
      </c>
      <c r="F19" s="17">
        <v>10</v>
      </c>
      <c r="G19" s="17">
        <f t="shared" si="0"/>
        <v>120</v>
      </c>
      <c r="H19" s="17" t="s">
        <v>16</v>
      </c>
      <c r="I19" s="23">
        <v>18.315</v>
      </c>
      <c r="J19" s="18">
        <f t="shared" si="1"/>
        <v>2197.8</v>
      </c>
      <c r="K19" s="17"/>
      <c r="L19" s="17" t="s">
        <v>17</v>
      </c>
      <c r="M19" s="17" t="s">
        <v>17</v>
      </c>
      <c r="N19" s="17"/>
    </row>
    <row r="20" s="6" customFormat="1" hidden="1" spans="1:14">
      <c r="A20" s="7"/>
      <c r="B20" s="15">
        <v>46028</v>
      </c>
      <c r="C20" s="7" t="s">
        <v>46</v>
      </c>
      <c r="D20" s="7" t="s">
        <v>32</v>
      </c>
      <c r="E20" s="7">
        <v>8</v>
      </c>
      <c r="F20" s="7">
        <v>60</v>
      </c>
      <c r="G20" s="17">
        <f t="shared" si="0"/>
        <v>480</v>
      </c>
      <c r="H20" s="17" t="s">
        <v>16</v>
      </c>
      <c r="I20" s="7">
        <v>17.82</v>
      </c>
      <c r="J20" s="18">
        <f t="shared" si="1"/>
        <v>8553.6</v>
      </c>
      <c r="K20" s="17"/>
      <c r="L20" s="7" t="s">
        <v>17</v>
      </c>
      <c r="M20" s="17" t="s">
        <v>17</v>
      </c>
      <c r="N20" s="7"/>
    </row>
    <row r="21" s="6" customFormat="1" hidden="1" spans="1:14">
      <c r="A21" s="7"/>
      <c r="B21" s="15">
        <v>46028</v>
      </c>
      <c r="C21" s="7" t="s">
        <v>18</v>
      </c>
      <c r="D21" s="7" t="s">
        <v>34</v>
      </c>
      <c r="E21" s="7">
        <v>12</v>
      </c>
      <c r="F21" s="7">
        <v>47</v>
      </c>
      <c r="G21" s="17">
        <f t="shared" si="0"/>
        <v>564</v>
      </c>
      <c r="H21" s="17" t="s">
        <v>16</v>
      </c>
      <c r="I21" s="7">
        <v>13.5</v>
      </c>
      <c r="J21" s="18">
        <f t="shared" si="1"/>
        <v>7614</v>
      </c>
      <c r="K21" s="17"/>
      <c r="L21" s="7" t="s">
        <v>17</v>
      </c>
      <c r="M21" s="7" t="s">
        <v>17</v>
      </c>
      <c r="N21" s="7"/>
    </row>
    <row r="22" s="6" customFormat="1" hidden="1" spans="1:14">
      <c r="A22" s="7"/>
      <c r="B22" s="15">
        <v>46028</v>
      </c>
      <c r="C22" s="7" t="s">
        <v>18</v>
      </c>
      <c r="D22" s="16" t="s">
        <v>15</v>
      </c>
      <c r="E22" s="7">
        <v>12</v>
      </c>
      <c r="F22" s="7">
        <v>47</v>
      </c>
      <c r="G22" s="17">
        <f t="shared" si="0"/>
        <v>564</v>
      </c>
      <c r="H22" s="17" t="s">
        <v>16</v>
      </c>
      <c r="I22" s="7">
        <v>15.8</v>
      </c>
      <c r="J22" s="18">
        <f t="shared" si="1"/>
        <v>8911.2</v>
      </c>
      <c r="K22" s="17"/>
      <c r="L22" s="7" t="s">
        <v>17</v>
      </c>
      <c r="M22" s="7" t="s">
        <v>17</v>
      </c>
      <c r="N22" s="7"/>
    </row>
    <row r="23" s="6" customFormat="1" hidden="1" spans="1:14">
      <c r="A23" s="7"/>
      <c r="B23" s="15">
        <v>46030</v>
      </c>
      <c r="C23" s="7" t="s">
        <v>42</v>
      </c>
      <c r="D23" s="7" t="s">
        <v>34</v>
      </c>
      <c r="E23" s="7">
        <v>12</v>
      </c>
      <c r="F23" s="7">
        <v>10</v>
      </c>
      <c r="G23" s="17">
        <f t="shared" si="0"/>
        <v>120</v>
      </c>
      <c r="H23" s="17" t="s">
        <v>16</v>
      </c>
      <c r="I23" s="7">
        <v>10</v>
      </c>
      <c r="J23" s="18">
        <f t="shared" si="1"/>
        <v>1200</v>
      </c>
      <c r="K23" s="7"/>
      <c r="L23" s="7" t="s">
        <v>43</v>
      </c>
      <c r="M23" s="7" t="s">
        <v>17</v>
      </c>
      <c r="N23" s="7"/>
    </row>
    <row r="24" s="6" customFormat="1" hidden="1" spans="1:14">
      <c r="A24" s="7"/>
      <c r="B24" s="15">
        <v>46030</v>
      </c>
      <c r="C24" s="7" t="s">
        <v>42</v>
      </c>
      <c r="D24" s="16" t="s">
        <v>15</v>
      </c>
      <c r="E24" s="7">
        <v>12</v>
      </c>
      <c r="F24" s="7">
        <v>10</v>
      </c>
      <c r="G24" s="17">
        <f t="shared" si="0"/>
        <v>120</v>
      </c>
      <c r="H24" s="17" t="s">
        <v>16</v>
      </c>
      <c r="I24" s="7">
        <v>12</v>
      </c>
      <c r="J24" s="18">
        <f t="shared" si="1"/>
        <v>1440</v>
      </c>
      <c r="K24" s="7"/>
      <c r="L24" s="7" t="s">
        <v>43</v>
      </c>
      <c r="M24" s="7" t="s">
        <v>17</v>
      </c>
      <c r="N24" s="7"/>
    </row>
    <row r="25" s="6" customFormat="1" hidden="1" spans="1:14">
      <c r="A25" s="7"/>
      <c r="B25" s="15">
        <v>46030</v>
      </c>
      <c r="C25" s="7" t="s">
        <v>42</v>
      </c>
      <c r="D25" s="7" t="s">
        <v>33</v>
      </c>
      <c r="E25" s="7">
        <v>12</v>
      </c>
      <c r="F25" s="7">
        <v>10</v>
      </c>
      <c r="G25" s="17">
        <f t="shared" si="0"/>
        <v>120</v>
      </c>
      <c r="H25" s="17" t="s">
        <v>16</v>
      </c>
      <c r="I25" s="7">
        <v>15</v>
      </c>
      <c r="J25" s="18">
        <f t="shared" si="1"/>
        <v>1800</v>
      </c>
      <c r="K25" s="7"/>
      <c r="L25" s="7" t="s">
        <v>43</v>
      </c>
      <c r="M25" s="7" t="s">
        <v>17</v>
      </c>
      <c r="N25" s="7"/>
    </row>
    <row r="26" s="6" customFormat="1" hidden="1" spans="1:14">
      <c r="A26" s="7"/>
      <c r="B26" s="15">
        <v>46030</v>
      </c>
      <c r="C26" s="7" t="s">
        <v>42</v>
      </c>
      <c r="D26" s="7" t="s">
        <v>44</v>
      </c>
      <c r="E26" s="7">
        <v>12</v>
      </c>
      <c r="F26" s="7">
        <v>15</v>
      </c>
      <c r="G26" s="17">
        <f t="shared" si="0"/>
        <v>180</v>
      </c>
      <c r="H26" s="17" t="s">
        <v>16</v>
      </c>
      <c r="I26" s="7">
        <v>12.8</v>
      </c>
      <c r="J26" s="18">
        <f t="shared" si="1"/>
        <v>2304</v>
      </c>
      <c r="K26" s="7"/>
      <c r="L26" s="7" t="s">
        <v>43</v>
      </c>
      <c r="M26" s="7" t="s">
        <v>17</v>
      </c>
      <c r="N26" s="7"/>
    </row>
    <row r="27" s="6" customFormat="1" hidden="1" spans="1:14">
      <c r="A27" s="7"/>
      <c r="B27" s="15">
        <v>46030</v>
      </c>
      <c r="C27" s="7" t="s">
        <v>42</v>
      </c>
      <c r="D27" s="7" t="s">
        <v>39</v>
      </c>
      <c r="E27" s="7">
        <v>12</v>
      </c>
      <c r="F27" s="7">
        <v>15</v>
      </c>
      <c r="G27" s="17">
        <f t="shared" si="0"/>
        <v>180</v>
      </c>
      <c r="H27" s="17" t="s">
        <v>16</v>
      </c>
      <c r="I27" s="7">
        <v>15</v>
      </c>
      <c r="J27" s="18">
        <f t="shared" si="1"/>
        <v>2700</v>
      </c>
      <c r="K27" s="7"/>
      <c r="L27" s="7" t="s">
        <v>43</v>
      </c>
      <c r="M27" s="7" t="s">
        <v>17</v>
      </c>
      <c r="N27" s="7"/>
    </row>
    <row r="28" s="6" customFormat="1" hidden="1" spans="1:14">
      <c r="A28" s="7"/>
      <c r="B28" s="15">
        <v>46030</v>
      </c>
      <c r="C28" s="7" t="s">
        <v>42</v>
      </c>
      <c r="D28" s="7" t="s">
        <v>40</v>
      </c>
      <c r="E28" s="7">
        <v>12</v>
      </c>
      <c r="F28" s="7">
        <v>15</v>
      </c>
      <c r="G28" s="17">
        <f t="shared" si="0"/>
        <v>180</v>
      </c>
      <c r="H28" s="17" t="s">
        <v>16</v>
      </c>
      <c r="I28" s="7">
        <v>18</v>
      </c>
      <c r="J28" s="18">
        <f t="shared" si="1"/>
        <v>3240</v>
      </c>
      <c r="K28" s="7"/>
      <c r="L28" s="7" t="s">
        <v>43</v>
      </c>
      <c r="M28" s="7" t="s">
        <v>17</v>
      </c>
      <c r="N28" s="7"/>
    </row>
    <row r="29" s="6" customFormat="1" hidden="1" spans="1:14">
      <c r="A29" s="7"/>
      <c r="B29" s="15">
        <v>46030</v>
      </c>
      <c r="C29" s="7" t="s">
        <v>42</v>
      </c>
      <c r="D29" s="7" t="s">
        <v>34</v>
      </c>
      <c r="E29" s="7">
        <v>12</v>
      </c>
      <c r="F29" s="7">
        <v>10</v>
      </c>
      <c r="G29" s="17">
        <f t="shared" si="0"/>
        <v>120</v>
      </c>
      <c r="H29" s="17" t="s">
        <v>16</v>
      </c>
      <c r="I29" s="7">
        <v>10</v>
      </c>
      <c r="J29" s="18">
        <f t="shared" si="1"/>
        <v>1200</v>
      </c>
      <c r="K29" s="7"/>
      <c r="L29" s="7" t="s">
        <v>43</v>
      </c>
      <c r="M29" s="7" t="s">
        <v>17</v>
      </c>
      <c r="N29" s="7"/>
    </row>
    <row r="30" s="6" customFormat="1" spans="1:14">
      <c r="A30" s="7"/>
      <c r="B30" s="15">
        <v>46031</v>
      </c>
      <c r="C30" s="7" t="s">
        <v>47</v>
      </c>
      <c r="D30" s="16" t="s">
        <v>15</v>
      </c>
      <c r="E30" s="7">
        <v>12</v>
      </c>
      <c r="F30" s="7">
        <v>10</v>
      </c>
      <c r="G30" s="17">
        <f t="shared" si="0"/>
        <v>120</v>
      </c>
      <c r="H30" s="17" t="s">
        <v>16</v>
      </c>
      <c r="I30" s="7">
        <v>13</v>
      </c>
      <c r="J30" s="18">
        <f t="shared" si="1"/>
        <v>1560</v>
      </c>
      <c r="K30" s="17"/>
      <c r="L30" s="7" t="s">
        <v>43</v>
      </c>
      <c r="M30" s="17" t="s">
        <v>17</v>
      </c>
      <c r="N30" s="7"/>
    </row>
    <row r="31" s="6" customFormat="1" spans="1:14">
      <c r="A31" s="7"/>
      <c r="B31" s="15">
        <v>46031</v>
      </c>
      <c r="C31" s="7" t="s">
        <v>47</v>
      </c>
      <c r="D31" s="7" t="s">
        <v>33</v>
      </c>
      <c r="E31" s="7">
        <v>12</v>
      </c>
      <c r="F31" s="7">
        <v>10</v>
      </c>
      <c r="G31" s="17">
        <f t="shared" si="0"/>
        <v>120</v>
      </c>
      <c r="H31" s="17" t="s">
        <v>16</v>
      </c>
      <c r="I31" s="7">
        <v>16.5</v>
      </c>
      <c r="J31" s="18">
        <f t="shared" si="1"/>
        <v>1980</v>
      </c>
      <c r="K31" s="17"/>
      <c r="L31" s="7" t="s">
        <v>43</v>
      </c>
      <c r="M31" s="17" t="s">
        <v>17</v>
      </c>
      <c r="N31" s="7"/>
    </row>
    <row r="32" s="6" customFormat="1" spans="1:14">
      <c r="A32" s="7"/>
      <c r="B32" s="15">
        <v>46031</v>
      </c>
      <c r="C32" s="7" t="s">
        <v>47</v>
      </c>
      <c r="D32" s="17" t="s">
        <v>48</v>
      </c>
      <c r="E32" s="7">
        <v>12</v>
      </c>
      <c r="F32" s="7">
        <v>5</v>
      </c>
      <c r="G32" s="17">
        <f t="shared" si="0"/>
        <v>60</v>
      </c>
      <c r="H32" s="17" t="s">
        <v>16</v>
      </c>
      <c r="I32" s="7">
        <v>16.5</v>
      </c>
      <c r="J32" s="18">
        <f t="shared" si="1"/>
        <v>990</v>
      </c>
      <c r="K32" s="17"/>
      <c r="L32" s="7" t="s">
        <v>43</v>
      </c>
      <c r="M32" s="17" t="s">
        <v>17</v>
      </c>
      <c r="N32" s="7"/>
    </row>
    <row r="33" s="6" customFormat="1" spans="1:14">
      <c r="A33" s="7"/>
      <c r="B33" s="15">
        <v>46031</v>
      </c>
      <c r="C33" s="7" t="s">
        <v>47</v>
      </c>
      <c r="D33" s="17" t="s">
        <v>48</v>
      </c>
      <c r="E33" s="7">
        <v>12</v>
      </c>
      <c r="F33" s="7">
        <v>5</v>
      </c>
      <c r="G33" s="17">
        <f t="shared" si="0"/>
        <v>60</v>
      </c>
      <c r="H33" s="17" t="s">
        <v>16</v>
      </c>
      <c r="I33" s="7">
        <v>20.5</v>
      </c>
      <c r="J33" s="18">
        <f t="shared" si="1"/>
        <v>1230</v>
      </c>
      <c r="K33" s="17"/>
      <c r="L33" s="7" t="s">
        <v>43</v>
      </c>
      <c r="M33" s="17" t="s">
        <v>17</v>
      </c>
      <c r="N33" s="7"/>
    </row>
    <row r="34" s="6" customFormat="1" hidden="1" spans="1:14">
      <c r="A34" s="7"/>
      <c r="B34" s="15">
        <v>46032</v>
      </c>
      <c r="C34" s="7" t="s">
        <v>42</v>
      </c>
      <c r="D34" s="16" t="s">
        <v>15</v>
      </c>
      <c r="E34" s="7">
        <v>12</v>
      </c>
      <c r="F34" s="7">
        <v>150</v>
      </c>
      <c r="G34" s="17">
        <f t="shared" si="0"/>
        <v>1800</v>
      </c>
      <c r="H34" s="17" t="s">
        <v>16</v>
      </c>
      <c r="I34" s="7">
        <v>12</v>
      </c>
      <c r="J34" s="18">
        <f t="shared" si="1"/>
        <v>21600</v>
      </c>
      <c r="K34" s="7"/>
      <c r="L34" s="7" t="s">
        <v>43</v>
      </c>
      <c r="M34" s="7" t="s">
        <v>17</v>
      </c>
      <c r="N34" s="7"/>
    </row>
    <row r="35" s="6" customFormat="1" hidden="1" spans="1:14">
      <c r="A35" s="7"/>
      <c r="B35" s="15">
        <v>46032</v>
      </c>
      <c r="C35" s="7" t="s">
        <v>42</v>
      </c>
      <c r="D35" s="7" t="s">
        <v>34</v>
      </c>
      <c r="E35" s="7">
        <v>12</v>
      </c>
      <c r="F35" s="7">
        <v>100</v>
      </c>
      <c r="G35" s="17">
        <f t="shared" si="0"/>
        <v>1200</v>
      </c>
      <c r="H35" s="17" t="s">
        <v>16</v>
      </c>
      <c r="I35" s="7">
        <v>10</v>
      </c>
      <c r="J35" s="18">
        <f t="shared" si="1"/>
        <v>12000</v>
      </c>
      <c r="K35" s="7"/>
      <c r="L35" s="7" t="s">
        <v>43</v>
      </c>
      <c r="M35" s="7" t="s">
        <v>17</v>
      </c>
      <c r="N35" s="7"/>
    </row>
    <row r="36" s="6" customFormat="1" hidden="1" spans="1:14">
      <c r="A36" s="7"/>
      <c r="B36" s="15">
        <v>46033</v>
      </c>
      <c r="C36" s="7" t="s">
        <v>42</v>
      </c>
      <c r="D36" s="7" t="s">
        <v>33</v>
      </c>
      <c r="E36" s="7">
        <v>12</v>
      </c>
      <c r="F36" s="7">
        <v>100</v>
      </c>
      <c r="G36" s="17">
        <f t="shared" si="0"/>
        <v>1200</v>
      </c>
      <c r="H36" s="17" t="s">
        <v>16</v>
      </c>
      <c r="I36" s="7">
        <v>15</v>
      </c>
      <c r="J36" s="18">
        <f t="shared" si="1"/>
        <v>18000</v>
      </c>
      <c r="K36" s="7"/>
      <c r="L36" s="7" t="s">
        <v>43</v>
      </c>
      <c r="M36" s="7" t="s">
        <v>17</v>
      </c>
      <c r="N36" s="7"/>
    </row>
    <row r="37" s="6" customFormat="1" hidden="1" spans="1:14">
      <c r="A37" s="7"/>
      <c r="B37" s="15">
        <v>46033</v>
      </c>
      <c r="C37" s="7" t="s">
        <v>42</v>
      </c>
      <c r="D37" s="16" t="s">
        <v>15</v>
      </c>
      <c r="E37" s="7">
        <v>12</v>
      </c>
      <c r="F37" s="7">
        <v>100</v>
      </c>
      <c r="G37" s="17">
        <f t="shared" si="0"/>
        <v>1200</v>
      </c>
      <c r="H37" s="17" t="s">
        <v>16</v>
      </c>
      <c r="I37" s="7">
        <v>12</v>
      </c>
      <c r="J37" s="18">
        <f t="shared" si="1"/>
        <v>14400</v>
      </c>
      <c r="K37" s="7"/>
      <c r="L37" s="7" t="s">
        <v>43</v>
      </c>
      <c r="M37" s="7" t="s">
        <v>17</v>
      </c>
      <c r="N37" s="7"/>
    </row>
    <row r="38" s="6" customFormat="1" hidden="1" spans="1:14">
      <c r="A38" s="7"/>
      <c r="B38" s="15">
        <v>46033</v>
      </c>
      <c r="C38" s="7" t="s">
        <v>42</v>
      </c>
      <c r="D38" s="16" t="s">
        <v>15</v>
      </c>
      <c r="E38" s="7">
        <v>12</v>
      </c>
      <c r="F38" s="7">
        <v>50</v>
      </c>
      <c r="G38" s="17">
        <f t="shared" si="0"/>
        <v>600</v>
      </c>
      <c r="H38" s="17" t="s">
        <v>16</v>
      </c>
      <c r="I38" s="7">
        <v>12</v>
      </c>
      <c r="J38" s="18">
        <f t="shared" si="1"/>
        <v>7200</v>
      </c>
      <c r="K38" s="7"/>
      <c r="L38" s="7" t="s">
        <v>43</v>
      </c>
      <c r="M38" s="7" t="s">
        <v>17</v>
      </c>
      <c r="N38" s="7"/>
    </row>
    <row r="39" s="6" customFormat="1" hidden="1" spans="1:14">
      <c r="A39" s="7"/>
      <c r="B39" s="15">
        <v>46034</v>
      </c>
      <c r="C39" s="7" t="s">
        <v>49</v>
      </c>
      <c r="D39" s="7" t="s">
        <v>50</v>
      </c>
      <c r="E39" s="7">
        <v>12</v>
      </c>
      <c r="F39" s="7">
        <v>40</v>
      </c>
      <c r="G39" s="17">
        <f t="shared" si="0"/>
        <v>480</v>
      </c>
      <c r="H39" s="17" t="s">
        <v>16</v>
      </c>
      <c r="I39" s="7">
        <v>20</v>
      </c>
      <c r="J39" s="18">
        <f t="shared" si="1"/>
        <v>9600</v>
      </c>
      <c r="K39" s="7">
        <v>40</v>
      </c>
      <c r="L39" s="7" t="s">
        <v>43</v>
      </c>
      <c r="M39" s="7" t="s">
        <v>17</v>
      </c>
      <c r="N39" s="7"/>
    </row>
    <row r="40" s="6" customFormat="1" spans="1:14">
      <c r="A40" s="7"/>
      <c r="B40" s="15">
        <v>46034</v>
      </c>
      <c r="C40" s="7" t="s">
        <v>47</v>
      </c>
      <c r="D40" s="16" t="s">
        <v>15</v>
      </c>
      <c r="E40" s="7">
        <v>12</v>
      </c>
      <c r="F40" s="7">
        <v>20</v>
      </c>
      <c r="G40" s="17">
        <f t="shared" si="0"/>
        <v>240</v>
      </c>
      <c r="H40" s="17" t="s">
        <v>16</v>
      </c>
      <c r="I40" s="7">
        <v>13</v>
      </c>
      <c r="J40" s="18">
        <f t="shared" si="1"/>
        <v>3120</v>
      </c>
      <c r="K40" s="17"/>
      <c r="L40" s="7" t="s">
        <v>43</v>
      </c>
      <c r="M40" s="17" t="s">
        <v>17</v>
      </c>
      <c r="N40" s="7"/>
    </row>
    <row r="41" s="6" customFormat="1" spans="1:14">
      <c r="A41" s="7"/>
      <c r="B41" s="15">
        <v>46034</v>
      </c>
      <c r="C41" s="7" t="s">
        <v>47</v>
      </c>
      <c r="D41" s="7" t="s">
        <v>33</v>
      </c>
      <c r="E41" s="7">
        <v>12</v>
      </c>
      <c r="F41" s="7">
        <v>10</v>
      </c>
      <c r="G41" s="17">
        <f t="shared" si="0"/>
        <v>120</v>
      </c>
      <c r="H41" s="17" t="s">
        <v>16</v>
      </c>
      <c r="I41" s="7">
        <v>16.5</v>
      </c>
      <c r="J41" s="18">
        <f t="shared" si="1"/>
        <v>1980</v>
      </c>
      <c r="K41" s="17"/>
      <c r="L41" s="7" t="s">
        <v>43</v>
      </c>
      <c r="M41" s="17" t="s">
        <v>17</v>
      </c>
      <c r="N41" s="7"/>
    </row>
    <row r="42" s="6" customFormat="1" hidden="1" spans="1:14">
      <c r="A42" s="7"/>
      <c r="B42" s="15">
        <v>46035</v>
      </c>
      <c r="C42" s="7" t="s">
        <v>42</v>
      </c>
      <c r="D42" s="7" t="s">
        <v>34</v>
      </c>
      <c r="E42" s="7">
        <v>12</v>
      </c>
      <c r="F42" s="7">
        <v>33</v>
      </c>
      <c r="G42" s="17">
        <f t="shared" si="0"/>
        <v>396</v>
      </c>
      <c r="H42" s="17" t="s">
        <v>16</v>
      </c>
      <c r="I42" s="7">
        <v>10</v>
      </c>
      <c r="J42" s="18">
        <f t="shared" si="1"/>
        <v>3960</v>
      </c>
      <c r="K42" s="7"/>
      <c r="L42" s="7" t="s">
        <v>43</v>
      </c>
      <c r="M42" s="7" t="s">
        <v>17</v>
      </c>
      <c r="N42" s="7"/>
    </row>
    <row r="43" s="6" customFormat="1" hidden="1" spans="1:14">
      <c r="A43" s="7"/>
      <c r="B43" s="15">
        <v>46035</v>
      </c>
      <c r="C43" s="7" t="s">
        <v>42</v>
      </c>
      <c r="D43" s="16" t="s">
        <v>15</v>
      </c>
      <c r="E43" s="7">
        <v>12</v>
      </c>
      <c r="F43" s="7">
        <v>50</v>
      </c>
      <c r="G43" s="17">
        <f t="shared" si="0"/>
        <v>600</v>
      </c>
      <c r="H43" s="17" t="s">
        <v>16</v>
      </c>
      <c r="I43" s="7">
        <v>12</v>
      </c>
      <c r="J43" s="18">
        <f t="shared" si="1"/>
        <v>7200</v>
      </c>
      <c r="K43" s="7"/>
      <c r="L43" s="7" t="s">
        <v>43</v>
      </c>
      <c r="M43" s="7" t="s">
        <v>17</v>
      </c>
      <c r="N43" s="7"/>
    </row>
    <row r="44" s="6" customFormat="1" hidden="1" spans="1:14">
      <c r="A44" s="7"/>
      <c r="B44" s="15">
        <v>46035</v>
      </c>
      <c r="C44" s="7" t="s">
        <v>42</v>
      </c>
      <c r="D44" s="16" t="s">
        <v>15</v>
      </c>
      <c r="E44" s="7">
        <v>12</v>
      </c>
      <c r="F44" s="7">
        <v>66</v>
      </c>
      <c r="G44" s="17">
        <f t="shared" si="0"/>
        <v>792</v>
      </c>
      <c r="H44" s="17" t="s">
        <v>16</v>
      </c>
      <c r="I44" s="7">
        <v>12</v>
      </c>
      <c r="J44" s="18">
        <f t="shared" si="1"/>
        <v>9504</v>
      </c>
      <c r="K44" s="7"/>
      <c r="L44" s="7" t="s">
        <v>43</v>
      </c>
      <c r="M44" s="7" t="s">
        <v>17</v>
      </c>
      <c r="N44" s="7"/>
    </row>
    <row r="45" s="6" customFormat="1" hidden="1" spans="1:14">
      <c r="A45" s="7"/>
      <c r="B45" s="15">
        <v>46035</v>
      </c>
      <c r="C45" s="7" t="s">
        <v>42</v>
      </c>
      <c r="D45" s="16" t="s">
        <v>15</v>
      </c>
      <c r="E45" s="7">
        <v>12</v>
      </c>
      <c r="F45" s="7">
        <v>14</v>
      </c>
      <c r="G45" s="17">
        <f t="shared" si="0"/>
        <v>168</v>
      </c>
      <c r="H45" s="17" t="s">
        <v>16</v>
      </c>
      <c r="I45" s="7">
        <v>12</v>
      </c>
      <c r="J45" s="18">
        <f t="shared" si="1"/>
        <v>2016</v>
      </c>
      <c r="K45" s="7"/>
      <c r="L45" s="7" t="s">
        <v>43</v>
      </c>
      <c r="M45" s="7" t="s">
        <v>17</v>
      </c>
      <c r="N45" s="7"/>
    </row>
    <row r="46" s="6" customFormat="1" hidden="1" spans="1:14">
      <c r="A46" s="7"/>
      <c r="B46" s="15">
        <v>46035</v>
      </c>
      <c r="C46" s="7" t="s">
        <v>42</v>
      </c>
      <c r="D46" s="7" t="s">
        <v>33</v>
      </c>
      <c r="E46" s="7">
        <v>12</v>
      </c>
      <c r="F46" s="7">
        <v>14</v>
      </c>
      <c r="G46" s="17">
        <f t="shared" si="0"/>
        <v>168</v>
      </c>
      <c r="H46" s="17" t="s">
        <v>16</v>
      </c>
      <c r="I46" s="7">
        <v>15</v>
      </c>
      <c r="J46" s="18">
        <f t="shared" si="1"/>
        <v>2520</v>
      </c>
      <c r="K46" s="7"/>
      <c r="L46" s="7" t="s">
        <v>43</v>
      </c>
      <c r="M46" s="7" t="s">
        <v>17</v>
      </c>
      <c r="N46" s="7"/>
    </row>
    <row r="47" s="6" customFormat="1" hidden="1" spans="1:14">
      <c r="A47" s="7"/>
      <c r="B47" s="15">
        <v>46035</v>
      </c>
      <c r="C47" s="7" t="s">
        <v>42</v>
      </c>
      <c r="D47" s="7" t="s">
        <v>51</v>
      </c>
      <c r="E47" s="7">
        <v>12</v>
      </c>
      <c r="F47" s="7">
        <v>14</v>
      </c>
      <c r="G47" s="17">
        <f t="shared" si="0"/>
        <v>168</v>
      </c>
      <c r="H47" s="17" t="s">
        <v>16</v>
      </c>
      <c r="I47" s="7">
        <v>12.8</v>
      </c>
      <c r="J47" s="18">
        <f t="shared" si="1"/>
        <v>2150.4</v>
      </c>
      <c r="K47" s="7"/>
      <c r="L47" s="7" t="s">
        <v>43</v>
      </c>
      <c r="M47" s="7" t="s">
        <v>17</v>
      </c>
      <c r="N47" s="7"/>
    </row>
    <row r="48" s="6" customFormat="1" hidden="1" spans="1:14">
      <c r="A48" s="7"/>
      <c r="B48" s="15">
        <v>46035</v>
      </c>
      <c r="C48" s="7" t="s">
        <v>42</v>
      </c>
      <c r="D48" s="17" t="s">
        <v>48</v>
      </c>
      <c r="E48" s="7">
        <v>12</v>
      </c>
      <c r="F48" s="7">
        <v>14</v>
      </c>
      <c r="G48" s="17">
        <f t="shared" si="0"/>
        <v>168</v>
      </c>
      <c r="H48" s="17" t="s">
        <v>16</v>
      </c>
      <c r="I48" s="7">
        <v>15</v>
      </c>
      <c r="J48" s="18">
        <f t="shared" si="1"/>
        <v>2520</v>
      </c>
      <c r="K48" s="7"/>
      <c r="L48" s="7" t="s">
        <v>43</v>
      </c>
      <c r="M48" s="7" t="s">
        <v>17</v>
      </c>
      <c r="N48" s="7"/>
    </row>
    <row r="49" s="6" customFormat="1" hidden="1" spans="1:14">
      <c r="A49" s="7"/>
      <c r="B49" s="15">
        <v>46035</v>
      </c>
      <c r="C49" s="7" t="s">
        <v>42</v>
      </c>
      <c r="D49" s="7" t="s">
        <v>34</v>
      </c>
      <c r="E49" s="7">
        <v>12</v>
      </c>
      <c r="F49" s="7">
        <v>2</v>
      </c>
      <c r="G49" s="17">
        <f t="shared" si="0"/>
        <v>24</v>
      </c>
      <c r="H49" s="17" t="s">
        <v>16</v>
      </c>
      <c r="I49" s="7">
        <v>10</v>
      </c>
      <c r="J49" s="18">
        <f t="shared" si="1"/>
        <v>240</v>
      </c>
      <c r="K49" s="7"/>
      <c r="L49" s="7" t="s">
        <v>43</v>
      </c>
      <c r="M49" s="7" t="s">
        <v>17</v>
      </c>
      <c r="N49" s="7"/>
    </row>
    <row r="50" s="6" customFormat="1" hidden="1" spans="1:14">
      <c r="A50" s="7"/>
      <c r="B50" s="15">
        <v>46035</v>
      </c>
      <c r="C50" s="7" t="s">
        <v>42</v>
      </c>
      <c r="D50" s="16" t="s">
        <v>15</v>
      </c>
      <c r="E50" s="7">
        <v>12</v>
      </c>
      <c r="F50" s="7">
        <v>2</v>
      </c>
      <c r="G50" s="17">
        <f t="shared" si="0"/>
        <v>24</v>
      </c>
      <c r="H50" s="17" t="s">
        <v>16</v>
      </c>
      <c r="I50" s="7">
        <v>12</v>
      </c>
      <c r="J50" s="18">
        <f t="shared" si="1"/>
        <v>288</v>
      </c>
      <c r="K50" s="7"/>
      <c r="L50" s="7" t="s">
        <v>43</v>
      </c>
      <c r="M50" s="7" t="s">
        <v>17</v>
      </c>
      <c r="N50" s="7"/>
    </row>
    <row r="51" s="6" customFormat="1" hidden="1" spans="1:14">
      <c r="A51" s="7"/>
      <c r="B51" s="15">
        <v>46035</v>
      </c>
      <c r="C51" s="7" t="s">
        <v>42</v>
      </c>
      <c r="D51" s="7" t="s">
        <v>33</v>
      </c>
      <c r="E51" s="7">
        <v>12</v>
      </c>
      <c r="F51" s="7">
        <v>1</v>
      </c>
      <c r="G51" s="17">
        <f t="shared" si="0"/>
        <v>12</v>
      </c>
      <c r="H51" s="17" t="s">
        <v>16</v>
      </c>
      <c r="I51" s="7">
        <v>15</v>
      </c>
      <c r="J51" s="18">
        <f t="shared" si="1"/>
        <v>180</v>
      </c>
      <c r="K51" s="7"/>
      <c r="L51" s="7" t="s">
        <v>43</v>
      </c>
      <c r="M51" s="7" t="s">
        <v>17</v>
      </c>
      <c r="N51" s="7"/>
    </row>
    <row r="52" s="6" customFormat="1" hidden="1" spans="1:14">
      <c r="A52" s="7"/>
      <c r="B52" s="15">
        <v>46035</v>
      </c>
      <c r="C52" s="7" t="s">
        <v>42</v>
      </c>
      <c r="D52" s="7" t="s">
        <v>50</v>
      </c>
      <c r="E52" s="7">
        <v>12</v>
      </c>
      <c r="F52" s="7">
        <v>1</v>
      </c>
      <c r="G52" s="17">
        <f t="shared" si="0"/>
        <v>12</v>
      </c>
      <c r="H52" s="17" t="s">
        <v>16</v>
      </c>
      <c r="I52" s="7">
        <v>17.5</v>
      </c>
      <c r="J52" s="18">
        <f t="shared" si="1"/>
        <v>210</v>
      </c>
      <c r="K52" s="7"/>
      <c r="L52" s="7" t="s">
        <v>43</v>
      </c>
      <c r="M52" s="7" t="s">
        <v>17</v>
      </c>
      <c r="N52" s="7"/>
    </row>
    <row r="53" s="6" customFormat="1" spans="1:14">
      <c r="A53" s="7"/>
      <c r="B53" s="15">
        <v>46035</v>
      </c>
      <c r="C53" s="7" t="s">
        <v>52</v>
      </c>
      <c r="D53" s="7" t="s">
        <v>34</v>
      </c>
      <c r="E53" s="7">
        <v>12</v>
      </c>
      <c r="F53" s="7">
        <v>2</v>
      </c>
      <c r="G53" s="17">
        <f t="shared" si="0"/>
        <v>24</v>
      </c>
      <c r="H53" s="17" t="s">
        <v>16</v>
      </c>
      <c r="I53" s="7">
        <v>10.8</v>
      </c>
      <c r="J53" s="18">
        <f t="shared" si="1"/>
        <v>259.2</v>
      </c>
      <c r="K53" s="7"/>
      <c r="L53" s="7" t="s">
        <v>43</v>
      </c>
      <c r="M53" s="7" t="s">
        <v>17</v>
      </c>
      <c r="N53" s="7"/>
    </row>
    <row r="54" s="6" customFormat="1" spans="1:14">
      <c r="A54" s="7"/>
      <c r="B54" s="15">
        <v>46035</v>
      </c>
      <c r="C54" s="7" t="s">
        <v>52</v>
      </c>
      <c r="D54" s="16" t="s">
        <v>15</v>
      </c>
      <c r="E54" s="7">
        <v>12</v>
      </c>
      <c r="F54" s="7">
        <v>2</v>
      </c>
      <c r="G54" s="17">
        <f t="shared" si="0"/>
        <v>24</v>
      </c>
      <c r="H54" s="17" t="s">
        <v>16</v>
      </c>
      <c r="I54" s="7">
        <v>12.5</v>
      </c>
      <c r="J54" s="18">
        <f t="shared" si="1"/>
        <v>300</v>
      </c>
      <c r="K54" s="7"/>
      <c r="L54" s="7" t="s">
        <v>43</v>
      </c>
      <c r="M54" s="7" t="s">
        <v>17</v>
      </c>
      <c r="N54" s="7"/>
    </row>
    <row r="55" s="6" customFormat="1" spans="1:14">
      <c r="A55" s="7"/>
      <c r="B55" s="15">
        <v>46035</v>
      </c>
      <c r="C55" s="7" t="s">
        <v>52</v>
      </c>
      <c r="D55" s="7" t="s">
        <v>33</v>
      </c>
      <c r="E55" s="7">
        <v>12</v>
      </c>
      <c r="F55" s="7">
        <v>2</v>
      </c>
      <c r="G55" s="17">
        <f t="shared" si="0"/>
        <v>24</v>
      </c>
      <c r="H55" s="17" t="s">
        <v>16</v>
      </c>
      <c r="I55" s="7">
        <v>16</v>
      </c>
      <c r="J55" s="18">
        <f t="shared" si="1"/>
        <v>384</v>
      </c>
      <c r="K55" s="7"/>
      <c r="L55" s="7" t="s">
        <v>43</v>
      </c>
      <c r="M55" s="7" t="s">
        <v>17</v>
      </c>
      <c r="N55" s="7"/>
    </row>
    <row r="56" s="6" customFormat="1" spans="1:14">
      <c r="A56" s="7"/>
      <c r="B56" s="15">
        <v>46035</v>
      </c>
      <c r="C56" s="7" t="s">
        <v>52</v>
      </c>
      <c r="D56" s="7" t="s">
        <v>50</v>
      </c>
      <c r="E56" s="7">
        <v>12</v>
      </c>
      <c r="F56" s="7">
        <v>1</v>
      </c>
      <c r="G56" s="17">
        <f t="shared" si="0"/>
        <v>12</v>
      </c>
      <c r="H56" s="17" t="s">
        <v>16</v>
      </c>
      <c r="I56" s="7">
        <v>18</v>
      </c>
      <c r="J56" s="18">
        <f t="shared" si="1"/>
        <v>216</v>
      </c>
      <c r="K56" s="7"/>
      <c r="L56" s="7" t="s">
        <v>43</v>
      </c>
      <c r="M56" s="7" t="s">
        <v>17</v>
      </c>
      <c r="N56" s="7"/>
    </row>
    <row r="57" s="6" customFormat="1" spans="1:14">
      <c r="A57" s="7"/>
      <c r="B57" s="15">
        <v>46035</v>
      </c>
      <c r="C57" s="7" t="s">
        <v>52</v>
      </c>
      <c r="D57" s="7" t="s">
        <v>34</v>
      </c>
      <c r="E57" s="7">
        <v>12</v>
      </c>
      <c r="F57" s="7">
        <v>2</v>
      </c>
      <c r="G57" s="17">
        <f t="shared" si="0"/>
        <v>24</v>
      </c>
      <c r="H57" s="17" t="s">
        <v>16</v>
      </c>
      <c r="I57" s="7">
        <v>10.8</v>
      </c>
      <c r="J57" s="18">
        <f t="shared" si="1"/>
        <v>259.2</v>
      </c>
      <c r="K57" s="7"/>
      <c r="L57" s="7" t="s">
        <v>43</v>
      </c>
      <c r="M57" s="7" t="s">
        <v>17</v>
      </c>
      <c r="N57" s="7"/>
    </row>
    <row r="58" s="6" customFormat="1" spans="1:14">
      <c r="A58" s="7"/>
      <c r="B58" s="15">
        <v>46035</v>
      </c>
      <c r="C58" s="7" t="s">
        <v>52</v>
      </c>
      <c r="D58" s="16" t="s">
        <v>15</v>
      </c>
      <c r="E58" s="7">
        <v>12</v>
      </c>
      <c r="F58" s="7">
        <v>2</v>
      </c>
      <c r="G58" s="17">
        <f t="shared" si="0"/>
        <v>24</v>
      </c>
      <c r="H58" s="17" t="s">
        <v>16</v>
      </c>
      <c r="I58" s="7">
        <v>12.5</v>
      </c>
      <c r="J58" s="18">
        <f t="shared" si="1"/>
        <v>300</v>
      </c>
      <c r="K58" s="7"/>
      <c r="L58" s="7" t="s">
        <v>43</v>
      </c>
      <c r="M58" s="7" t="s">
        <v>17</v>
      </c>
      <c r="N58" s="7"/>
    </row>
    <row r="59" s="6" customFormat="1" spans="1:14">
      <c r="A59" s="7"/>
      <c r="B59" s="15">
        <v>46035</v>
      </c>
      <c r="C59" s="7" t="s">
        <v>52</v>
      </c>
      <c r="D59" s="7" t="s">
        <v>33</v>
      </c>
      <c r="E59" s="7">
        <v>12</v>
      </c>
      <c r="F59" s="7">
        <v>2</v>
      </c>
      <c r="G59" s="17">
        <f t="shared" si="0"/>
        <v>24</v>
      </c>
      <c r="H59" s="17" t="s">
        <v>16</v>
      </c>
      <c r="I59" s="7">
        <v>16</v>
      </c>
      <c r="J59" s="18">
        <f t="shared" si="1"/>
        <v>384</v>
      </c>
      <c r="K59" s="7"/>
      <c r="L59" s="7" t="s">
        <v>43</v>
      </c>
      <c r="M59" s="7" t="s">
        <v>17</v>
      </c>
      <c r="N59" s="7"/>
    </row>
    <row r="60" s="6" customFormat="1" hidden="1" spans="1:14">
      <c r="A60" s="7"/>
      <c r="B60" s="15">
        <v>46036</v>
      </c>
      <c r="C60" s="7" t="s">
        <v>42</v>
      </c>
      <c r="D60" s="16" t="s">
        <v>15</v>
      </c>
      <c r="E60" s="7">
        <v>12</v>
      </c>
      <c r="F60" s="7">
        <v>100</v>
      </c>
      <c r="G60" s="17">
        <f t="shared" si="0"/>
        <v>1200</v>
      </c>
      <c r="H60" s="17" t="s">
        <v>16</v>
      </c>
      <c r="I60" s="7">
        <v>12</v>
      </c>
      <c r="J60" s="18">
        <f t="shared" si="1"/>
        <v>14400</v>
      </c>
      <c r="K60" s="7"/>
      <c r="L60" s="7" t="s">
        <v>43</v>
      </c>
      <c r="M60" s="7" t="s">
        <v>17</v>
      </c>
      <c r="N60" s="7"/>
    </row>
    <row r="61" s="6" customFormat="1" hidden="1" spans="1:14">
      <c r="A61" s="7"/>
      <c r="B61" s="15">
        <v>46037</v>
      </c>
      <c r="C61" s="7" t="s">
        <v>42</v>
      </c>
      <c r="D61" s="7" t="s">
        <v>44</v>
      </c>
      <c r="E61" s="7">
        <v>12</v>
      </c>
      <c r="F61" s="7">
        <v>50</v>
      </c>
      <c r="G61" s="17">
        <f t="shared" si="0"/>
        <v>600</v>
      </c>
      <c r="H61" s="17" t="s">
        <v>16</v>
      </c>
      <c r="I61" s="7">
        <v>12.8</v>
      </c>
      <c r="J61" s="18">
        <f t="shared" si="1"/>
        <v>7680</v>
      </c>
      <c r="K61" s="7"/>
      <c r="L61" s="7" t="s">
        <v>43</v>
      </c>
      <c r="M61" s="7" t="s">
        <v>17</v>
      </c>
      <c r="N61" s="7"/>
    </row>
    <row r="62" s="6" customFormat="1" hidden="1" spans="1:14">
      <c r="A62" s="7"/>
      <c r="B62" s="15">
        <v>46037</v>
      </c>
      <c r="C62" s="7" t="s">
        <v>42</v>
      </c>
      <c r="D62" s="7" t="s">
        <v>39</v>
      </c>
      <c r="E62" s="7">
        <v>12</v>
      </c>
      <c r="F62" s="7">
        <v>49</v>
      </c>
      <c r="G62" s="17">
        <f t="shared" si="0"/>
        <v>588</v>
      </c>
      <c r="H62" s="17" t="s">
        <v>16</v>
      </c>
      <c r="I62" s="7">
        <v>15</v>
      </c>
      <c r="J62" s="18">
        <f t="shared" si="1"/>
        <v>8820</v>
      </c>
      <c r="K62" s="7"/>
      <c r="L62" s="7" t="s">
        <v>43</v>
      </c>
      <c r="M62" s="7" t="s">
        <v>17</v>
      </c>
      <c r="N62" s="7"/>
    </row>
    <row r="63" s="6" customFormat="1" hidden="1" spans="1:14">
      <c r="A63" s="7"/>
      <c r="B63" s="15">
        <v>46037</v>
      </c>
      <c r="C63" s="7" t="s">
        <v>42</v>
      </c>
      <c r="D63" s="7" t="s">
        <v>40</v>
      </c>
      <c r="E63" s="7">
        <v>12</v>
      </c>
      <c r="F63" s="7">
        <v>50</v>
      </c>
      <c r="G63" s="17">
        <f t="shared" si="0"/>
        <v>600</v>
      </c>
      <c r="H63" s="17" t="s">
        <v>16</v>
      </c>
      <c r="I63" s="7">
        <v>18</v>
      </c>
      <c r="J63" s="18">
        <f t="shared" si="1"/>
        <v>10800</v>
      </c>
      <c r="K63" s="7"/>
      <c r="L63" s="7" t="s">
        <v>43</v>
      </c>
      <c r="M63" s="7" t="s">
        <v>17</v>
      </c>
      <c r="N63" s="7"/>
    </row>
    <row r="64" s="6" customFormat="1" hidden="1" spans="1:14">
      <c r="A64" s="7"/>
      <c r="B64" s="15">
        <v>46037</v>
      </c>
      <c r="C64" s="7" t="s">
        <v>42</v>
      </c>
      <c r="D64" s="16" t="s">
        <v>15</v>
      </c>
      <c r="E64" s="7">
        <v>12</v>
      </c>
      <c r="F64" s="7">
        <v>25</v>
      </c>
      <c r="G64" s="17">
        <f t="shared" si="0"/>
        <v>300</v>
      </c>
      <c r="H64" s="17" t="s">
        <v>16</v>
      </c>
      <c r="I64" s="7">
        <v>12</v>
      </c>
      <c r="J64" s="18">
        <f t="shared" si="1"/>
        <v>3600</v>
      </c>
      <c r="K64" s="7"/>
      <c r="L64" s="7" t="s">
        <v>43</v>
      </c>
      <c r="M64" s="7" t="s">
        <v>17</v>
      </c>
      <c r="N64" s="7"/>
    </row>
    <row r="65" s="6" customFormat="1" hidden="1" spans="1:14">
      <c r="A65" s="7"/>
      <c r="B65" s="15">
        <v>46037</v>
      </c>
      <c r="C65" s="7" t="s">
        <v>42</v>
      </c>
      <c r="D65" s="7" t="s">
        <v>50</v>
      </c>
      <c r="E65" s="7">
        <v>12</v>
      </c>
      <c r="F65" s="7">
        <v>10</v>
      </c>
      <c r="G65" s="17">
        <f t="shared" si="0"/>
        <v>120</v>
      </c>
      <c r="H65" s="17" t="s">
        <v>16</v>
      </c>
      <c r="I65" s="7">
        <v>17.5</v>
      </c>
      <c r="J65" s="18">
        <f t="shared" si="1"/>
        <v>2100</v>
      </c>
      <c r="K65" s="7"/>
      <c r="L65" s="7" t="s">
        <v>43</v>
      </c>
      <c r="M65" s="7" t="s">
        <v>17</v>
      </c>
      <c r="N65" s="7"/>
    </row>
    <row r="66" s="6" customFormat="1" hidden="1" spans="1:14">
      <c r="A66" s="7"/>
      <c r="B66" s="15">
        <v>46037</v>
      </c>
      <c r="C66" s="7" t="s">
        <v>42</v>
      </c>
      <c r="D66" s="7" t="s">
        <v>34</v>
      </c>
      <c r="E66" s="7">
        <v>12</v>
      </c>
      <c r="F66" s="7">
        <v>30</v>
      </c>
      <c r="G66" s="17">
        <f t="shared" ref="G66:G96" si="2">F66*E66</f>
        <v>360</v>
      </c>
      <c r="H66" s="17" t="s">
        <v>16</v>
      </c>
      <c r="I66" s="7">
        <v>10</v>
      </c>
      <c r="J66" s="18">
        <f t="shared" ref="J66:J114" si="3">I66*G66</f>
        <v>3600</v>
      </c>
      <c r="K66" s="7"/>
      <c r="L66" s="7" t="s">
        <v>43</v>
      </c>
      <c r="M66" s="7" t="s">
        <v>17</v>
      </c>
      <c r="N66" s="7"/>
    </row>
    <row r="67" s="6" customFormat="1" hidden="1" spans="1:14">
      <c r="A67" s="7"/>
      <c r="B67" s="15">
        <v>46037</v>
      </c>
      <c r="C67" s="7" t="s">
        <v>42</v>
      </c>
      <c r="D67" s="16" t="s">
        <v>15</v>
      </c>
      <c r="E67" s="7">
        <v>12</v>
      </c>
      <c r="F67" s="7">
        <v>30</v>
      </c>
      <c r="G67" s="17">
        <f t="shared" si="2"/>
        <v>360</v>
      </c>
      <c r="H67" s="17" t="s">
        <v>16</v>
      </c>
      <c r="I67" s="7">
        <v>12</v>
      </c>
      <c r="J67" s="18">
        <f t="shared" si="3"/>
        <v>4320</v>
      </c>
      <c r="K67" s="7"/>
      <c r="L67" s="7" t="s">
        <v>43</v>
      </c>
      <c r="M67" s="7" t="s">
        <v>17</v>
      </c>
      <c r="N67" s="7"/>
    </row>
    <row r="68" s="6" customFormat="1" hidden="1" spans="1:14">
      <c r="A68" s="7"/>
      <c r="B68" s="15">
        <v>46037</v>
      </c>
      <c r="C68" s="7" t="s">
        <v>42</v>
      </c>
      <c r="D68" s="7" t="s">
        <v>53</v>
      </c>
      <c r="E68" s="7">
        <v>12</v>
      </c>
      <c r="F68" s="7">
        <v>30</v>
      </c>
      <c r="G68" s="17">
        <f t="shared" si="2"/>
        <v>360</v>
      </c>
      <c r="H68" s="17" t="s">
        <v>16</v>
      </c>
      <c r="I68" s="7">
        <v>13.5</v>
      </c>
      <c r="J68" s="18">
        <f t="shared" si="3"/>
        <v>4860</v>
      </c>
      <c r="K68" s="7"/>
      <c r="L68" s="7" t="s">
        <v>43</v>
      </c>
      <c r="M68" s="7" t="s">
        <v>17</v>
      </c>
      <c r="N68" s="7"/>
    </row>
    <row r="69" s="6" customFormat="1" spans="1:14">
      <c r="A69" s="7"/>
      <c r="B69" s="15">
        <v>46039</v>
      </c>
      <c r="C69" s="7" t="s">
        <v>52</v>
      </c>
      <c r="D69" s="16" t="s">
        <v>15</v>
      </c>
      <c r="E69" s="7">
        <v>12</v>
      </c>
      <c r="F69" s="7">
        <v>7</v>
      </c>
      <c r="G69" s="17">
        <f t="shared" si="2"/>
        <v>84</v>
      </c>
      <c r="H69" s="17" t="s">
        <v>16</v>
      </c>
      <c r="I69" s="7">
        <v>12.5</v>
      </c>
      <c r="J69" s="18">
        <f t="shared" si="3"/>
        <v>1050</v>
      </c>
      <c r="K69" s="7"/>
      <c r="L69" s="7" t="s">
        <v>43</v>
      </c>
      <c r="M69" s="7" t="s">
        <v>17</v>
      </c>
      <c r="N69" s="7"/>
    </row>
    <row r="70" s="6" customFormat="1" spans="1:14">
      <c r="A70" s="7"/>
      <c r="B70" s="15">
        <v>46039</v>
      </c>
      <c r="C70" s="7" t="s">
        <v>52</v>
      </c>
      <c r="D70" s="7" t="s">
        <v>33</v>
      </c>
      <c r="E70" s="7">
        <v>12</v>
      </c>
      <c r="F70" s="7">
        <v>7</v>
      </c>
      <c r="G70" s="17">
        <f t="shared" si="2"/>
        <v>84</v>
      </c>
      <c r="H70" s="17" t="s">
        <v>16</v>
      </c>
      <c r="I70" s="7">
        <v>16</v>
      </c>
      <c r="J70" s="18">
        <f t="shared" si="3"/>
        <v>1344</v>
      </c>
      <c r="K70" s="7"/>
      <c r="L70" s="7" t="s">
        <v>43</v>
      </c>
      <c r="M70" s="7" t="s">
        <v>17</v>
      </c>
      <c r="N70" s="7"/>
    </row>
    <row r="71" s="6" customFormat="1" spans="1:14">
      <c r="A71" s="7"/>
      <c r="B71" s="15">
        <v>46039</v>
      </c>
      <c r="C71" s="7" t="s">
        <v>54</v>
      </c>
      <c r="D71" s="7" t="s">
        <v>33</v>
      </c>
      <c r="E71" s="7">
        <v>12</v>
      </c>
      <c r="F71" s="7">
        <v>50</v>
      </c>
      <c r="G71" s="17">
        <f t="shared" si="2"/>
        <v>600</v>
      </c>
      <c r="H71" s="17" t="s">
        <v>16</v>
      </c>
      <c r="I71" s="7">
        <v>15.8</v>
      </c>
      <c r="J71" s="18">
        <f t="shared" si="3"/>
        <v>9480</v>
      </c>
      <c r="K71" s="7"/>
      <c r="L71" s="7" t="s">
        <v>43</v>
      </c>
      <c r="M71" s="7" t="s">
        <v>17</v>
      </c>
      <c r="N71" s="7"/>
    </row>
    <row r="72" s="6" customFormat="1" hidden="1" spans="1:14">
      <c r="A72" s="7"/>
      <c r="B72" s="15">
        <v>46041</v>
      </c>
      <c r="C72" s="7" t="s">
        <v>42</v>
      </c>
      <c r="D72" s="16" t="s">
        <v>15</v>
      </c>
      <c r="E72" s="7">
        <v>12</v>
      </c>
      <c r="F72" s="7">
        <v>25</v>
      </c>
      <c r="G72" s="17">
        <f t="shared" si="2"/>
        <v>300</v>
      </c>
      <c r="H72" s="17" t="s">
        <v>16</v>
      </c>
      <c r="I72" s="7">
        <v>12</v>
      </c>
      <c r="J72" s="18">
        <f t="shared" si="3"/>
        <v>3600</v>
      </c>
      <c r="K72" s="7"/>
      <c r="L72" s="7" t="s">
        <v>43</v>
      </c>
      <c r="M72" s="7" t="s">
        <v>17</v>
      </c>
      <c r="N72" s="7"/>
    </row>
    <row r="73" s="6" customFormat="1" hidden="1" spans="1:14">
      <c r="A73" s="7"/>
      <c r="B73" s="15">
        <v>46041</v>
      </c>
      <c r="C73" s="7" t="s">
        <v>42</v>
      </c>
      <c r="D73" s="7" t="s">
        <v>34</v>
      </c>
      <c r="E73" s="7">
        <v>12</v>
      </c>
      <c r="F73" s="7">
        <v>90</v>
      </c>
      <c r="G73" s="17">
        <f t="shared" si="2"/>
        <v>1080</v>
      </c>
      <c r="H73" s="17" t="s">
        <v>16</v>
      </c>
      <c r="I73" s="7">
        <v>10</v>
      </c>
      <c r="J73" s="18">
        <f t="shared" si="3"/>
        <v>10800</v>
      </c>
      <c r="K73" s="7"/>
      <c r="L73" s="7" t="s">
        <v>43</v>
      </c>
      <c r="M73" s="7" t="s">
        <v>17</v>
      </c>
      <c r="N73" s="7"/>
    </row>
    <row r="74" s="6" customFormat="1" hidden="1" spans="1:14">
      <c r="A74" s="7"/>
      <c r="B74" s="15">
        <v>46041</v>
      </c>
      <c r="C74" s="7" t="s">
        <v>42</v>
      </c>
      <c r="D74" s="7" t="s">
        <v>33</v>
      </c>
      <c r="E74" s="7">
        <v>12</v>
      </c>
      <c r="F74" s="7">
        <v>43</v>
      </c>
      <c r="G74" s="17">
        <f t="shared" si="2"/>
        <v>516</v>
      </c>
      <c r="H74" s="17" t="s">
        <v>16</v>
      </c>
      <c r="I74" s="7">
        <v>15</v>
      </c>
      <c r="J74" s="18">
        <f t="shared" si="3"/>
        <v>7740</v>
      </c>
      <c r="K74" s="7"/>
      <c r="L74" s="7" t="s">
        <v>43</v>
      </c>
      <c r="M74" s="7" t="s">
        <v>17</v>
      </c>
      <c r="N74" s="7"/>
    </row>
    <row r="75" s="6" customFormat="1" hidden="1" spans="1:14">
      <c r="A75" s="7"/>
      <c r="B75" s="15">
        <v>46041</v>
      </c>
      <c r="C75" s="7" t="s">
        <v>42</v>
      </c>
      <c r="D75" s="7" t="s">
        <v>44</v>
      </c>
      <c r="E75" s="7">
        <v>12</v>
      </c>
      <c r="F75" s="7">
        <v>3</v>
      </c>
      <c r="G75" s="17">
        <f t="shared" si="2"/>
        <v>36</v>
      </c>
      <c r="H75" s="17" t="s">
        <v>16</v>
      </c>
      <c r="I75" s="7">
        <v>12.8</v>
      </c>
      <c r="J75" s="18">
        <f t="shared" si="3"/>
        <v>460.8</v>
      </c>
      <c r="K75" s="7"/>
      <c r="L75" s="7" t="s">
        <v>43</v>
      </c>
      <c r="M75" s="7" t="s">
        <v>17</v>
      </c>
      <c r="N75" s="7"/>
    </row>
    <row r="76" s="6" customFormat="1" hidden="1" spans="1:14">
      <c r="A76" s="7"/>
      <c r="B76" s="15">
        <v>46041</v>
      </c>
      <c r="C76" s="7" t="s">
        <v>42</v>
      </c>
      <c r="D76" s="7" t="s">
        <v>39</v>
      </c>
      <c r="E76" s="7">
        <v>12</v>
      </c>
      <c r="F76" s="7">
        <v>3</v>
      </c>
      <c r="G76" s="17">
        <f t="shared" si="2"/>
        <v>36</v>
      </c>
      <c r="H76" s="17" t="s">
        <v>16</v>
      </c>
      <c r="I76" s="7">
        <v>15</v>
      </c>
      <c r="J76" s="18">
        <f t="shared" si="3"/>
        <v>540</v>
      </c>
      <c r="K76" s="7"/>
      <c r="L76" s="7" t="s">
        <v>43</v>
      </c>
      <c r="M76" s="7" t="s">
        <v>17</v>
      </c>
      <c r="N76" s="7"/>
    </row>
    <row r="77" s="6" customFormat="1" hidden="1" spans="1:14">
      <c r="A77" s="7"/>
      <c r="B77" s="15">
        <v>46042</v>
      </c>
      <c r="C77" s="7" t="s">
        <v>42</v>
      </c>
      <c r="D77" s="16" t="s">
        <v>15</v>
      </c>
      <c r="E77" s="7">
        <v>12</v>
      </c>
      <c r="F77" s="7">
        <v>150</v>
      </c>
      <c r="G77" s="17">
        <f t="shared" si="2"/>
        <v>1800</v>
      </c>
      <c r="H77" s="17" t="s">
        <v>16</v>
      </c>
      <c r="I77" s="7">
        <v>12</v>
      </c>
      <c r="J77" s="18">
        <f t="shared" si="3"/>
        <v>21600</v>
      </c>
      <c r="K77" s="7"/>
      <c r="L77" s="7" t="s">
        <v>43</v>
      </c>
      <c r="M77" s="7" t="s">
        <v>17</v>
      </c>
      <c r="N77" s="7"/>
    </row>
    <row r="78" s="6" customFormat="1" hidden="1" spans="1:14">
      <c r="A78" s="7"/>
      <c r="B78" s="15">
        <v>46042</v>
      </c>
      <c r="C78" s="7" t="s">
        <v>42</v>
      </c>
      <c r="D78" s="7" t="s">
        <v>33</v>
      </c>
      <c r="E78" s="7">
        <v>12</v>
      </c>
      <c r="F78" s="7">
        <v>150</v>
      </c>
      <c r="G78" s="17">
        <f t="shared" si="2"/>
        <v>1800</v>
      </c>
      <c r="H78" s="17" t="s">
        <v>16</v>
      </c>
      <c r="I78" s="7">
        <v>15</v>
      </c>
      <c r="J78" s="18">
        <f t="shared" si="3"/>
        <v>27000</v>
      </c>
      <c r="K78" s="7"/>
      <c r="L78" s="7" t="s">
        <v>43</v>
      </c>
      <c r="M78" s="7" t="s">
        <v>17</v>
      </c>
      <c r="N78" s="7"/>
    </row>
    <row r="79" s="6" customFormat="1" hidden="1" spans="1:14">
      <c r="A79" s="7"/>
      <c r="B79" s="15">
        <v>46042</v>
      </c>
      <c r="C79" s="7" t="s">
        <v>42</v>
      </c>
      <c r="D79" s="16" t="s">
        <v>15</v>
      </c>
      <c r="E79" s="7">
        <v>12</v>
      </c>
      <c r="F79" s="7">
        <v>40</v>
      </c>
      <c r="G79" s="17">
        <f t="shared" si="2"/>
        <v>480</v>
      </c>
      <c r="H79" s="17" t="s">
        <v>16</v>
      </c>
      <c r="I79" s="7">
        <v>12</v>
      </c>
      <c r="J79" s="18">
        <f t="shared" si="3"/>
        <v>5760</v>
      </c>
      <c r="K79" s="7"/>
      <c r="L79" s="7" t="s">
        <v>43</v>
      </c>
      <c r="M79" s="7" t="s">
        <v>17</v>
      </c>
      <c r="N79" s="7"/>
    </row>
    <row r="80" s="6" customFormat="1" hidden="1" spans="1:14">
      <c r="A80" s="7"/>
      <c r="B80" s="15">
        <v>46042</v>
      </c>
      <c r="C80" s="7" t="s">
        <v>42</v>
      </c>
      <c r="D80" s="7" t="s">
        <v>39</v>
      </c>
      <c r="E80" s="7">
        <v>12</v>
      </c>
      <c r="F80" s="7">
        <v>20</v>
      </c>
      <c r="G80" s="17">
        <f t="shared" si="2"/>
        <v>240</v>
      </c>
      <c r="H80" s="17" t="s">
        <v>16</v>
      </c>
      <c r="I80" s="7">
        <v>15</v>
      </c>
      <c r="J80" s="18">
        <f t="shared" si="3"/>
        <v>3600</v>
      </c>
      <c r="K80" s="7"/>
      <c r="L80" s="7" t="s">
        <v>43</v>
      </c>
      <c r="M80" s="7" t="s">
        <v>17</v>
      </c>
      <c r="N80" s="7"/>
    </row>
    <row r="81" s="6" customFormat="1" hidden="1" spans="1:14">
      <c r="A81" s="7"/>
      <c r="B81" s="15">
        <v>46042</v>
      </c>
      <c r="C81" s="7" t="s">
        <v>42</v>
      </c>
      <c r="D81" s="7" t="s">
        <v>40</v>
      </c>
      <c r="E81" s="7">
        <v>12</v>
      </c>
      <c r="F81" s="7">
        <v>10</v>
      </c>
      <c r="G81" s="17">
        <f t="shared" si="2"/>
        <v>120</v>
      </c>
      <c r="H81" s="17" t="s">
        <v>16</v>
      </c>
      <c r="I81" s="7">
        <v>18</v>
      </c>
      <c r="J81" s="18">
        <f t="shared" si="3"/>
        <v>2160</v>
      </c>
      <c r="K81" s="7"/>
      <c r="L81" s="7" t="s">
        <v>43</v>
      </c>
      <c r="M81" s="7" t="s">
        <v>17</v>
      </c>
      <c r="N81" s="7"/>
    </row>
    <row r="82" s="6" customFormat="1" hidden="1" spans="1:14">
      <c r="A82" s="7"/>
      <c r="B82" s="15">
        <v>46042</v>
      </c>
      <c r="C82" s="7" t="s">
        <v>42</v>
      </c>
      <c r="D82" s="16" t="s">
        <v>15</v>
      </c>
      <c r="E82" s="7">
        <v>12</v>
      </c>
      <c r="F82" s="7">
        <v>50</v>
      </c>
      <c r="G82" s="17">
        <f t="shared" si="2"/>
        <v>600</v>
      </c>
      <c r="H82" s="17" t="s">
        <v>16</v>
      </c>
      <c r="I82" s="7">
        <v>12</v>
      </c>
      <c r="J82" s="18">
        <f t="shared" si="3"/>
        <v>7200</v>
      </c>
      <c r="K82" s="7"/>
      <c r="L82" s="7" t="s">
        <v>43</v>
      </c>
      <c r="M82" s="7" t="s">
        <v>17</v>
      </c>
      <c r="N82" s="7"/>
    </row>
    <row r="83" s="6" customFormat="1" hidden="1" spans="1:14">
      <c r="A83" s="7"/>
      <c r="B83" s="15">
        <v>46042</v>
      </c>
      <c r="C83" s="7" t="s">
        <v>42</v>
      </c>
      <c r="D83" s="16" t="s">
        <v>15</v>
      </c>
      <c r="E83" s="7">
        <v>12</v>
      </c>
      <c r="F83" s="7">
        <v>10</v>
      </c>
      <c r="G83" s="17">
        <f t="shared" si="2"/>
        <v>120</v>
      </c>
      <c r="H83" s="17" t="s">
        <v>16</v>
      </c>
      <c r="I83" s="7">
        <v>12</v>
      </c>
      <c r="J83" s="18">
        <f t="shared" si="3"/>
        <v>1440</v>
      </c>
      <c r="K83" s="7"/>
      <c r="L83" s="7" t="s">
        <v>43</v>
      </c>
      <c r="M83" s="7" t="s">
        <v>17</v>
      </c>
      <c r="N83" s="7"/>
    </row>
    <row r="84" s="6" customFormat="1" hidden="1" spans="1:14">
      <c r="A84" s="7"/>
      <c r="B84" s="15">
        <v>46042</v>
      </c>
      <c r="C84" s="7" t="s">
        <v>42</v>
      </c>
      <c r="D84" s="7" t="s">
        <v>34</v>
      </c>
      <c r="E84" s="7">
        <v>12</v>
      </c>
      <c r="F84" s="7">
        <v>4</v>
      </c>
      <c r="G84" s="17">
        <f t="shared" si="2"/>
        <v>48</v>
      </c>
      <c r="H84" s="17" t="s">
        <v>16</v>
      </c>
      <c r="I84" s="7">
        <v>10</v>
      </c>
      <c r="J84" s="18">
        <f t="shared" si="3"/>
        <v>480</v>
      </c>
      <c r="K84" s="7"/>
      <c r="L84" s="7" t="s">
        <v>43</v>
      </c>
      <c r="M84" s="7" t="s">
        <v>17</v>
      </c>
      <c r="N84" s="7"/>
    </row>
    <row r="85" s="6" customFormat="1" spans="1:14">
      <c r="A85" s="7"/>
      <c r="B85" s="15">
        <v>46046</v>
      </c>
      <c r="C85" s="7" t="s">
        <v>52</v>
      </c>
      <c r="D85" s="7" t="s">
        <v>40</v>
      </c>
      <c r="E85" s="7">
        <v>12</v>
      </c>
      <c r="F85" s="7">
        <v>20</v>
      </c>
      <c r="G85" s="17">
        <f t="shared" si="2"/>
        <v>240</v>
      </c>
      <c r="H85" s="17" t="s">
        <v>16</v>
      </c>
      <c r="I85" s="7">
        <v>20</v>
      </c>
      <c r="J85" s="18">
        <f t="shared" si="3"/>
        <v>4800</v>
      </c>
      <c r="K85" s="7"/>
      <c r="L85" s="7" t="s">
        <v>43</v>
      </c>
      <c r="M85" s="7" t="s">
        <v>17</v>
      </c>
      <c r="N85" s="7"/>
    </row>
    <row r="86" s="6" customFormat="1" spans="1:14">
      <c r="A86" s="7"/>
      <c r="B86" s="15">
        <v>46046</v>
      </c>
      <c r="C86" s="7" t="s">
        <v>52</v>
      </c>
      <c r="D86" s="16" t="s">
        <v>15</v>
      </c>
      <c r="E86" s="7">
        <v>12</v>
      </c>
      <c r="F86" s="7">
        <v>15</v>
      </c>
      <c r="G86" s="17">
        <f t="shared" si="2"/>
        <v>180</v>
      </c>
      <c r="H86" s="17" t="s">
        <v>16</v>
      </c>
      <c r="I86" s="7">
        <v>12.5</v>
      </c>
      <c r="J86" s="18">
        <f t="shared" si="3"/>
        <v>2250</v>
      </c>
      <c r="K86" s="7"/>
      <c r="L86" s="7" t="s">
        <v>43</v>
      </c>
      <c r="M86" s="7" t="s">
        <v>17</v>
      </c>
      <c r="N86" s="7"/>
    </row>
    <row r="87" s="6" customFormat="1" hidden="1" spans="1:14">
      <c r="A87" s="7"/>
      <c r="B87" s="15">
        <v>46048</v>
      </c>
      <c r="C87" s="7" t="s">
        <v>42</v>
      </c>
      <c r="D87" s="7" t="s">
        <v>50</v>
      </c>
      <c r="E87" s="7">
        <v>12</v>
      </c>
      <c r="F87" s="7">
        <v>50</v>
      </c>
      <c r="G87" s="17">
        <f t="shared" si="2"/>
        <v>600</v>
      </c>
      <c r="H87" s="17" t="s">
        <v>16</v>
      </c>
      <c r="I87" s="7">
        <v>17.5</v>
      </c>
      <c r="J87" s="18">
        <f t="shared" si="3"/>
        <v>10500</v>
      </c>
      <c r="K87" s="7"/>
      <c r="L87" s="7" t="s">
        <v>43</v>
      </c>
      <c r="M87" s="7" t="s">
        <v>17</v>
      </c>
      <c r="N87" s="7"/>
    </row>
    <row r="88" s="6" customFormat="1" hidden="1" spans="1:14">
      <c r="A88" s="7"/>
      <c r="B88" s="15">
        <v>46048</v>
      </c>
      <c r="C88" s="7" t="s">
        <v>42</v>
      </c>
      <c r="D88" s="16" t="s">
        <v>15</v>
      </c>
      <c r="E88" s="7">
        <v>12</v>
      </c>
      <c r="F88" s="7">
        <v>60</v>
      </c>
      <c r="G88" s="17">
        <f t="shared" si="2"/>
        <v>720</v>
      </c>
      <c r="H88" s="17" t="s">
        <v>16</v>
      </c>
      <c r="I88" s="7">
        <v>12</v>
      </c>
      <c r="J88" s="18">
        <f t="shared" si="3"/>
        <v>8640</v>
      </c>
      <c r="K88" s="7"/>
      <c r="L88" s="7" t="s">
        <v>43</v>
      </c>
      <c r="M88" s="7" t="s">
        <v>17</v>
      </c>
      <c r="N88" s="7"/>
    </row>
    <row r="89" s="6" customFormat="1" hidden="1" spans="1:14">
      <c r="A89" s="7"/>
      <c r="B89" s="15">
        <v>46048</v>
      </c>
      <c r="C89" s="7" t="s">
        <v>42</v>
      </c>
      <c r="D89" s="7" t="s">
        <v>34</v>
      </c>
      <c r="E89" s="7">
        <v>12</v>
      </c>
      <c r="F89" s="7">
        <v>8</v>
      </c>
      <c r="G89" s="17">
        <f t="shared" si="2"/>
        <v>96</v>
      </c>
      <c r="H89" s="17" t="s">
        <v>16</v>
      </c>
      <c r="I89" s="7">
        <v>10</v>
      </c>
      <c r="J89" s="18">
        <f t="shared" si="3"/>
        <v>960</v>
      </c>
      <c r="K89" s="7"/>
      <c r="L89" s="7" t="s">
        <v>43</v>
      </c>
      <c r="M89" s="7" t="s">
        <v>17</v>
      </c>
      <c r="N89" s="7"/>
    </row>
    <row r="90" s="6" customFormat="1" hidden="1" spans="1:14">
      <c r="A90" s="7"/>
      <c r="B90" s="15">
        <v>46048</v>
      </c>
      <c r="C90" s="7" t="s">
        <v>42</v>
      </c>
      <c r="D90" s="16" t="s">
        <v>15</v>
      </c>
      <c r="E90" s="7">
        <v>12</v>
      </c>
      <c r="F90" s="7">
        <v>30</v>
      </c>
      <c r="G90" s="17">
        <f t="shared" si="2"/>
        <v>360</v>
      </c>
      <c r="H90" s="17" t="s">
        <v>16</v>
      </c>
      <c r="I90" s="7">
        <v>12</v>
      </c>
      <c r="J90" s="18">
        <f t="shared" si="3"/>
        <v>4320</v>
      </c>
      <c r="K90" s="7"/>
      <c r="L90" s="7" t="s">
        <v>43</v>
      </c>
      <c r="M90" s="7" t="s">
        <v>17</v>
      </c>
      <c r="N90" s="7"/>
    </row>
    <row r="91" s="6" customFormat="1" hidden="1" spans="1:14">
      <c r="A91" s="7"/>
      <c r="B91" s="15">
        <v>46048</v>
      </c>
      <c r="C91" s="7" t="s">
        <v>42</v>
      </c>
      <c r="D91" s="7" t="s">
        <v>33</v>
      </c>
      <c r="E91" s="7">
        <v>12</v>
      </c>
      <c r="F91" s="7">
        <v>15</v>
      </c>
      <c r="G91" s="17">
        <f t="shared" si="2"/>
        <v>180</v>
      </c>
      <c r="H91" s="17" t="s">
        <v>16</v>
      </c>
      <c r="I91" s="7">
        <v>15</v>
      </c>
      <c r="J91" s="18">
        <f t="shared" si="3"/>
        <v>2700</v>
      </c>
      <c r="K91" s="7"/>
      <c r="L91" s="7" t="s">
        <v>43</v>
      </c>
      <c r="M91" s="7" t="s">
        <v>17</v>
      </c>
      <c r="N91" s="7"/>
    </row>
    <row r="92" s="6" customFormat="1" hidden="1" spans="1:14">
      <c r="A92" s="7"/>
      <c r="B92" s="15">
        <v>46048</v>
      </c>
      <c r="C92" s="7" t="s">
        <v>42</v>
      </c>
      <c r="D92" s="7" t="s">
        <v>50</v>
      </c>
      <c r="E92" s="7">
        <v>12</v>
      </c>
      <c r="F92" s="7">
        <v>5</v>
      </c>
      <c r="G92" s="17">
        <f t="shared" si="2"/>
        <v>60</v>
      </c>
      <c r="H92" s="17" t="s">
        <v>16</v>
      </c>
      <c r="I92" s="7">
        <v>17.5</v>
      </c>
      <c r="J92" s="18">
        <f t="shared" si="3"/>
        <v>1050</v>
      </c>
      <c r="K92" s="7"/>
      <c r="L92" s="7" t="s">
        <v>43</v>
      </c>
      <c r="M92" s="7" t="s">
        <v>17</v>
      </c>
      <c r="N92" s="7"/>
    </row>
    <row r="93" s="6" customFormat="1" hidden="1" spans="1:14">
      <c r="A93" s="7"/>
      <c r="B93" s="15">
        <v>46049</v>
      </c>
      <c r="C93" s="7" t="s">
        <v>42</v>
      </c>
      <c r="D93" s="16" t="s">
        <v>15</v>
      </c>
      <c r="E93" s="7">
        <v>12</v>
      </c>
      <c r="F93" s="7">
        <v>50</v>
      </c>
      <c r="G93" s="17">
        <f t="shared" si="2"/>
        <v>600</v>
      </c>
      <c r="H93" s="17" t="s">
        <v>16</v>
      </c>
      <c r="I93" s="7">
        <v>12</v>
      </c>
      <c r="J93" s="18">
        <f t="shared" si="3"/>
        <v>7200</v>
      </c>
      <c r="K93" s="7"/>
      <c r="L93" s="7" t="s">
        <v>43</v>
      </c>
      <c r="M93" s="7" t="s">
        <v>17</v>
      </c>
      <c r="N93" s="7"/>
    </row>
    <row r="94" s="6" customFormat="1" hidden="1" spans="1:14">
      <c r="A94" s="7"/>
      <c r="B94" s="15">
        <v>46049</v>
      </c>
      <c r="C94" s="7" t="s">
        <v>42</v>
      </c>
      <c r="D94" s="7" t="s">
        <v>44</v>
      </c>
      <c r="E94" s="7">
        <v>12</v>
      </c>
      <c r="F94" s="7">
        <v>25</v>
      </c>
      <c r="G94" s="17">
        <f t="shared" si="2"/>
        <v>300</v>
      </c>
      <c r="H94" s="17" t="s">
        <v>16</v>
      </c>
      <c r="I94" s="7">
        <v>12.8</v>
      </c>
      <c r="J94" s="18">
        <f t="shared" si="3"/>
        <v>3840</v>
      </c>
      <c r="K94" s="7"/>
      <c r="L94" s="7" t="s">
        <v>43</v>
      </c>
      <c r="M94" s="7" t="s">
        <v>17</v>
      </c>
      <c r="N94" s="7"/>
    </row>
    <row r="95" s="6" customFormat="1" hidden="1" spans="1:14">
      <c r="A95" s="7"/>
      <c r="B95" s="15">
        <v>46049</v>
      </c>
      <c r="C95" s="7" t="s">
        <v>42</v>
      </c>
      <c r="D95" s="7" t="s">
        <v>39</v>
      </c>
      <c r="E95" s="7">
        <v>12</v>
      </c>
      <c r="F95" s="7">
        <v>25</v>
      </c>
      <c r="G95" s="17">
        <f t="shared" si="2"/>
        <v>300</v>
      </c>
      <c r="H95" s="17" t="s">
        <v>16</v>
      </c>
      <c r="I95" s="7">
        <v>15</v>
      </c>
      <c r="J95" s="18">
        <f t="shared" si="3"/>
        <v>4500</v>
      </c>
      <c r="K95" s="7"/>
      <c r="L95" s="7" t="s">
        <v>43</v>
      </c>
      <c r="M95" s="7" t="s">
        <v>17</v>
      </c>
      <c r="N95" s="7"/>
    </row>
    <row r="96" s="6" customFormat="1" hidden="1" spans="1:14">
      <c r="A96" s="7"/>
      <c r="B96" s="15">
        <v>46049</v>
      </c>
      <c r="C96" s="7" t="s">
        <v>42</v>
      </c>
      <c r="D96" s="7" t="s">
        <v>40</v>
      </c>
      <c r="E96" s="7">
        <v>12</v>
      </c>
      <c r="F96" s="7">
        <v>25</v>
      </c>
      <c r="G96" s="17">
        <f t="shared" si="2"/>
        <v>300</v>
      </c>
      <c r="H96" s="17" t="s">
        <v>16</v>
      </c>
      <c r="I96" s="7">
        <v>18</v>
      </c>
      <c r="J96" s="18">
        <f t="shared" si="3"/>
        <v>5400</v>
      </c>
      <c r="K96" s="7"/>
      <c r="L96" s="7" t="s">
        <v>43</v>
      </c>
      <c r="M96" s="7" t="s">
        <v>17</v>
      </c>
      <c r="N96" s="7"/>
    </row>
    <row r="97" s="6" customFormat="1" spans="1:14">
      <c r="A97" s="7"/>
      <c r="B97" s="15">
        <v>46049</v>
      </c>
      <c r="C97" s="7" t="s">
        <v>55</v>
      </c>
      <c r="D97" s="16" t="s">
        <v>15</v>
      </c>
      <c r="E97" s="7">
        <v>12</v>
      </c>
      <c r="F97" s="7">
        <v>84</v>
      </c>
      <c r="G97" s="17">
        <v>1000</v>
      </c>
      <c r="H97" s="17" t="s">
        <v>16</v>
      </c>
      <c r="I97" s="7">
        <v>12.2</v>
      </c>
      <c r="J97" s="18">
        <f t="shared" si="3"/>
        <v>12200</v>
      </c>
      <c r="K97" s="7"/>
      <c r="L97" s="7" t="s">
        <v>43</v>
      </c>
      <c r="M97" s="7" t="s">
        <v>17</v>
      </c>
      <c r="N97" s="7"/>
    </row>
    <row r="98" s="6" customFormat="1" spans="1:14">
      <c r="A98" s="7"/>
      <c r="B98" s="15">
        <v>46049</v>
      </c>
      <c r="C98" s="7" t="s">
        <v>55</v>
      </c>
      <c r="D98" s="7" t="s">
        <v>33</v>
      </c>
      <c r="E98" s="7">
        <v>12</v>
      </c>
      <c r="F98" s="7">
        <v>84</v>
      </c>
      <c r="G98" s="17">
        <v>1000</v>
      </c>
      <c r="H98" s="17" t="s">
        <v>16</v>
      </c>
      <c r="I98" s="7">
        <v>15.3</v>
      </c>
      <c r="J98" s="18">
        <f t="shared" si="3"/>
        <v>15300</v>
      </c>
      <c r="K98" s="7"/>
      <c r="L98" s="7" t="s">
        <v>43</v>
      </c>
      <c r="M98" s="7" t="s">
        <v>17</v>
      </c>
      <c r="N98" s="7"/>
    </row>
    <row r="99" s="6" customFormat="1" spans="1:14">
      <c r="A99" s="7"/>
      <c r="B99" s="15">
        <v>46049</v>
      </c>
      <c r="C99" s="7" t="s">
        <v>52</v>
      </c>
      <c r="D99" s="16" t="s">
        <v>15</v>
      </c>
      <c r="E99" s="7">
        <v>12</v>
      </c>
      <c r="F99" s="7">
        <v>20</v>
      </c>
      <c r="G99" s="17">
        <f t="shared" ref="G99:G114" si="4">F99*E99</f>
        <v>240</v>
      </c>
      <c r="H99" s="17" t="s">
        <v>16</v>
      </c>
      <c r="I99" s="7">
        <v>12.5</v>
      </c>
      <c r="J99" s="18">
        <f t="shared" si="3"/>
        <v>3000</v>
      </c>
      <c r="K99" s="7"/>
      <c r="L99" s="7" t="s">
        <v>43</v>
      </c>
      <c r="M99" s="7" t="s">
        <v>17</v>
      </c>
      <c r="N99" s="7" t="s">
        <v>56</v>
      </c>
    </row>
    <row r="100" s="6" customFormat="1" hidden="1" spans="1:14">
      <c r="A100" s="7"/>
      <c r="B100" s="15">
        <v>46052</v>
      </c>
      <c r="C100" s="7" t="s">
        <v>42</v>
      </c>
      <c r="D100" s="7" t="s">
        <v>34</v>
      </c>
      <c r="E100" s="7">
        <v>12</v>
      </c>
      <c r="F100" s="7">
        <v>10</v>
      </c>
      <c r="G100" s="17">
        <f t="shared" si="4"/>
        <v>120</v>
      </c>
      <c r="H100" s="17" t="s">
        <v>16</v>
      </c>
      <c r="I100" s="7">
        <v>10</v>
      </c>
      <c r="J100" s="18">
        <f t="shared" si="3"/>
        <v>1200</v>
      </c>
      <c r="K100" s="7"/>
      <c r="L100" s="7" t="s">
        <v>43</v>
      </c>
      <c r="M100" s="7" t="s">
        <v>17</v>
      </c>
      <c r="N100" s="7"/>
    </row>
    <row r="101" s="6" customFormat="1" hidden="1" spans="1:14">
      <c r="A101" s="7"/>
      <c r="B101" s="15">
        <v>46052</v>
      </c>
      <c r="C101" s="7" t="s">
        <v>42</v>
      </c>
      <c r="D101" s="16" t="s">
        <v>15</v>
      </c>
      <c r="E101" s="7">
        <v>12</v>
      </c>
      <c r="F101" s="7">
        <v>10</v>
      </c>
      <c r="G101" s="17">
        <f t="shared" si="4"/>
        <v>120</v>
      </c>
      <c r="H101" s="17" t="s">
        <v>16</v>
      </c>
      <c r="I101" s="7">
        <v>12</v>
      </c>
      <c r="J101" s="18">
        <f t="shared" si="3"/>
        <v>1440</v>
      </c>
      <c r="K101" s="7"/>
      <c r="L101" s="7" t="s">
        <v>43</v>
      </c>
      <c r="M101" s="7" t="s">
        <v>17</v>
      </c>
      <c r="N101" s="7"/>
    </row>
    <row r="102" s="6" customFormat="1" hidden="1" spans="1:14">
      <c r="A102" s="7"/>
      <c r="B102" s="15">
        <v>46052</v>
      </c>
      <c r="C102" s="7" t="s">
        <v>42</v>
      </c>
      <c r="D102" s="7" t="s">
        <v>33</v>
      </c>
      <c r="E102" s="7">
        <v>12</v>
      </c>
      <c r="F102" s="7">
        <v>10</v>
      </c>
      <c r="G102" s="17">
        <f t="shared" si="4"/>
        <v>120</v>
      </c>
      <c r="H102" s="17" t="s">
        <v>16</v>
      </c>
      <c r="I102" s="7">
        <v>15</v>
      </c>
      <c r="J102" s="18">
        <f t="shared" si="3"/>
        <v>1800</v>
      </c>
      <c r="K102" s="7"/>
      <c r="L102" s="7" t="s">
        <v>43</v>
      </c>
      <c r="M102" s="7" t="s">
        <v>17</v>
      </c>
      <c r="N102" s="7"/>
    </row>
    <row r="103" s="6" customFormat="1" hidden="1" spans="1:14">
      <c r="A103" s="7"/>
      <c r="B103" s="15">
        <v>46052</v>
      </c>
      <c r="C103" s="7" t="s">
        <v>42</v>
      </c>
      <c r="D103" s="7" t="s">
        <v>34</v>
      </c>
      <c r="E103" s="7">
        <v>12</v>
      </c>
      <c r="F103" s="7">
        <v>10</v>
      </c>
      <c r="G103" s="17">
        <f t="shared" si="4"/>
        <v>120</v>
      </c>
      <c r="H103" s="17" t="s">
        <v>16</v>
      </c>
      <c r="I103" s="7">
        <v>10</v>
      </c>
      <c r="J103" s="18">
        <f t="shared" si="3"/>
        <v>1200</v>
      </c>
      <c r="K103" s="7"/>
      <c r="L103" s="7" t="s">
        <v>43</v>
      </c>
      <c r="M103" s="7" t="s">
        <v>17</v>
      </c>
      <c r="N103" s="7"/>
    </row>
    <row r="104" s="6" customFormat="1" hidden="1" spans="1:14">
      <c r="A104" s="7"/>
      <c r="B104" s="15">
        <v>46052</v>
      </c>
      <c r="C104" s="7" t="s">
        <v>42</v>
      </c>
      <c r="D104" s="16" t="s">
        <v>15</v>
      </c>
      <c r="E104" s="7">
        <v>12</v>
      </c>
      <c r="F104" s="7">
        <v>10</v>
      </c>
      <c r="G104" s="17">
        <f t="shared" si="4"/>
        <v>120</v>
      </c>
      <c r="H104" s="17" t="s">
        <v>16</v>
      </c>
      <c r="I104" s="7">
        <v>12</v>
      </c>
      <c r="J104" s="18">
        <f t="shared" si="3"/>
        <v>1440</v>
      </c>
      <c r="K104" s="7"/>
      <c r="L104" s="7" t="s">
        <v>43</v>
      </c>
      <c r="M104" s="7" t="s">
        <v>17</v>
      </c>
      <c r="N104" s="7"/>
    </row>
    <row r="105" s="6" customFormat="1" hidden="1" spans="1:14">
      <c r="A105" s="7"/>
      <c r="B105" s="15">
        <v>46052</v>
      </c>
      <c r="C105" s="7" t="s">
        <v>42</v>
      </c>
      <c r="D105" s="7" t="s">
        <v>33</v>
      </c>
      <c r="E105" s="7">
        <v>12</v>
      </c>
      <c r="F105" s="7">
        <v>10</v>
      </c>
      <c r="G105" s="17">
        <f t="shared" si="4"/>
        <v>120</v>
      </c>
      <c r="H105" s="17" t="s">
        <v>16</v>
      </c>
      <c r="I105" s="7">
        <v>15</v>
      </c>
      <c r="J105" s="18">
        <f t="shared" si="3"/>
        <v>1800</v>
      </c>
      <c r="K105" s="7"/>
      <c r="L105" s="7" t="s">
        <v>43</v>
      </c>
      <c r="M105" s="7" t="s">
        <v>17</v>
      </c>
      <c r="N105" s="7"/>
    </row>
    <row r="106" s="6" customFormat="1" hidden="1" spans="1:14">
      <c r="A106" s="7"/>
      <c r="B106" s="15">
        <v>46052</v>
      </c>
      <c r="C106" s="7" t="s">
        <v>42</v>
      </c>
      <c r="D106" s="7" t="s">
        <v>40</v>
      </c>
      <c r="E106" s="7">
        <v>12</v>
      </c>
      <c r="F106" s="7">
        <v>30</v>
      </c>
      <c r="G106" s="17">
        <f t="shared" si="4"/>
        <v>360</v>
      </c>
      <c r="H106" s="17" t="s">
        <v>16</v>
      </c>
      <c r="I106" s="7">
        <v>18</v>
      </c>
      <c r="J106" s="18">
        <f t="shared" si="3"/>
        <v>6480</v>
      </c>
      <c r="K106" s="7"/>
      <c r="L106" s="7" t="s">
        <v>43</v>
      </c>
      <c r="M106" s="7" t="s">
        <v>17</v>
      </c>
      <c r="N106" s="7"/>
    </row>
    <row r="107" s="6" customFormat="1" hidden="1" spans="1:14">
      <c r="A107" s="7"/>
      <c r="B107" s="15">
        <v>46053</v>
      </c>
      <c r="C107" s="7" t="s">
        <v>42</v>
      </c>
      <c r="D107" s="7" t="s">
        <v>34</v>
      </c>
      <c r="E107" s="7">
        <v>12</v>
      </c>
      <c r="F107" s="7">
        <v>50</v>
      </c>
      <c r="G107" s="17">
        <f t="shared" si="4"/>
        <v>600</v>
      </c>
      <c r="H107" s="17" t="s">
        <v>16</v>
      </c>
      <c r="I107" s="7">
        <v>10</v>
      </c>
      <c r="J107" s="18">
        <f t="shared" si="3"/>
        <v>6000</v>
      </c>
      <c r="K107" s="7"/>
      <c r="L107" s="7" t="s">
        <v>43</v>
      </c>
      <c r="M107" s="7" t="s">
        <v>17</v>
      </c>
      <c r="N107" s="7"/>
    </row>
    <row r="108" s="6" customFormat="1" hidden="1" spans="1:14">
      <c r="A108" s="7"/>
      <c r="B108" s="15">
        <v>46053</v>
      </c>
      <c r="C108" s="7" t="s">
        <v>42</v>
      </c>
      <c r="D108" s="16" t="s">
        <v>15</v>
      </c>
      <c r="E108" s="7">
        <v>12</v>
      </c>
      <c r="F108" s="7">
        <v>50</v>
      </c>
      <c r="G108" s="17">
        <f t="shared" si="4"/>
        <v>600</v>
      </c>
      <c r="H108" s="17" t="s">
        <v>16</v>
      </c>
      <c r="I108" s="7">
        <v>12</v>
      </c>
      <c r="J108" s="18">
        <f t="shared" si="3"/>
        <v>7200</v>
      </c>
      <c r="K108" s="7"/>
      <c r="L108" s="7" t="s">
        <v>43</v>
      </c>
      <c r="M108" s="7" t="s">
        <v>17</v>
      </c>
      <c r="N108" s="7"/>
    </row>
    <row r="109" s="6" customFormat="1" hidden="1" spans="1:14">
      <c r="A109" s="7"/>
      <c r="B109" s="15">
        <v>46054</v>
      </c>
      <c r="C109" s="7" t="s">
        <v>42</v>
      </c>
      <c r="D109" s="16" t="s">
        <v>15</v>
      </c>
      <c r="E109" s="7">
        <v>12</v>
      </c>
      <c r="F109" s="7">
        <v>230</v>
      </c>
      <c r="G109" s="17">
        <f t="shared" si="4"/>
        <v>2760</v>
      </c>
      <c r="H109" s="17" t="s">
        <v>16</v>
      </c>
      <c r="I109" s="7">
        <v>12</v>
      </c>
      <c r="J109" s="18">
        <f t="shared" si="3"/>
        <v>33120</v>
      </c>
      <c r="K109" s="7"/>
      <c r="L109" s="7" t="s">
        <v>43</v>
      </c>
      <c r="M109" s="7" t="s">
        <v>17</v>
      </c>
      <c r="N109" s="7"/>
    </row>
    <row r="110" s="6" customFormat="1" hidden="1" spans="1:14">
      <c r="A110" s="7"/>
      <c r="B110" s="15">
        <v>46055</v>
      </c>
      <c r="C110" s="7" t="s">
        <v>42</v>
      </c>
      <c r="D110" s="7" t="s">
        <v>39</v>
      </c>
      <c r="E110" s="7">
        <v>12</v>
      </c>
      <c r="F110" s="7">
        <v>20</v>
      </c>
      <c r="G110" s="17">
        <f t="shared" si="4"/>
        <v>240</v>
      </c>
      <c r="H110" s="17" t="s">
        <v>16</v>
      </c>
      <c r="I110" s="7">
        <v>15</v>
      </c>
      <c r="J110" s="18">
        <f t="shared" si="3"/>
        <v>3600</v>
      </c>
      <c r="K110" s="7"/>
      <c r="L110" s="7" t="s">
        <v>43</v>
      </c>
      <c r="M110" s="7" t="s">
        <v>17</v>
      </c>
      <c r="N110" s="7"/>
    </row>
    <row r="111" s="6" customFormat="1" hidden="1" spans="1:14">
      <c r="A111" s="7"/>
      <c r="B111" s="15">
        <v>46055</v>
      </c>
      <c r="C111" s="7" t="s">
        <v>42</v>
      </c>
      <c r="D111" s="16" t="s">
        <v>15</v>
      </c>
      <c r="E111" s="7">
        <v>12</v>
      </c>
      <c r="F111" s="7">
        <v>20</v>
      </c>
      <c r="G111" s="17">
        <f t="shared" si="4"/>
        <v>240</v>
      </c>
      <c r="H111" s="17" t="s">
        <v>16</v>
      </c>
      <c r="I111" s="7">
        <v>12</v>
      </c>
      <c r="J111" s="18">
        <f t="shared" si="3"/>
        <v>2880</v>
      </c>
      <c r="K111" s="7"/>
      <c r="L111" s="7" t="s">
        <v>43</v>
      </c>
      <c r="M111" s="7" t="s">
        <v>17</v>
      </c>
      <c r="N111" s="7"/>
    </row>
    <row r="112" s="6" customFormat="1" ht="30" hidden="1" spans="1:14">
      <c r="A112" s="7"/>
      <c r="B112" s="15">
        <v>46057</v>
      </c>
      <c r="C112" s="22" t="s">
        <v>14</v>
      </c>
      <c r="D112" s="16" t="s">
        <v>15</v>
      </c>
      <c r="E112" s="7">
        <v>12</v>
      </c>
      <c r="F112" s="7">
        <v>80</v>
      </c>
      <c r="G112" s="17">
        <f t="shared" si="4"/>
        <v>960</v>
      </c>
      <c r="H112" s="17" t="s">
        <v>16</v>
      </c>
      <c r="I112" s="7">
        <v>13.5</v>
      </c>
      <c r="J112" s="18">
        <f t="shared" si="3"/>
        <v>12960</v>
      </c>
      <c r="K112" s="7"/>
      <c r="L112" s="7" t="s">
        <v>17</v>
      </c>
      <c r="M112" s="17" t="s">
        <v>17</v>
      </c>
      <c r="N112" s="7"/>
    </row>
    <row r="113" s="6" customFormat="1" spans="1:14">
      <c r="A113" s="7"/>
      <c r="B113" s="15">
        <v>46057</v>
      </c>
      <c r="C113" s="7" t="s">
        <v>57</v>
      </c>
      <c r="D113" s="16" t="s">
        <v>15</v>
      </c>
      <c r="E113" s="7">
        <v>12</v>
      </c>
      <c r="F113" s="7">
        <v>100</v>
      </c>
      <c r="G113" s="17">
        <f t="shared" si="4"/>
        <v>1200</v>
      </c>
      <c r="H113" s="17" t="s">
        <v>16</v>
      </c>
      <c r="I113" s="7">
        <v>12.6</v>
      </c>
      <c r="J113" s="18">
        <f t="shared" si="3"/>
        <v>15120</v>
      </c>
      <c r="K113" s="7"/>
      <c r="L113" s="7" t="s">
        <v>43</v>
      </c>
      <c r="M113" s="7" t="s">
        <v>17</v>
      </c>
      <c r="N113" s="7"/>
    </row>
    <row r="114" s="6" customFormat="1" hidden="1" spans="1:14">
      <c r="A114" s="7"/>
      <c r="B114" s="15">
        <v>46057</v>
      </c>
      <c r="C114" s="7" t="s">
        <v>49</v>
      </c>
      <c r="D114" s="7" t="s">
        <v>50</v>
      </c>
      <c r="E114" s="7">
        <v>12</v>
      </c>
      <c r="F114" s="7">
        <v>30</v>
      </c>
      <c r="G114" s="17">
        <f t="shared" si="4"/>
        <v>360</v>
      </c>
      <c r="H114" s="17" t="s">
        <v>16</v>
      </c>
      <c r="I114" s="7">
        <v>20</v>
      </c>
      <c r="J114" s="18">
        <f t="shared" si="3"/>
        <v>7200</v>
      </c>
      <c r="K114" s="7">
        <v>100</v>
      </c>
      <c r="L114" s="7" t="s">
        <v>43</v>
      </c>
      <c r="M114" s="7" t="s">
        <v>17</v>
      </c>
      <c r="N114" s="7"/>
    </row>
    <row r="115" s="6" customFormat="1" ht="30" hidden="1" spans="1:14">
      <c r="A115" s="24" t="s">
        <v>58</v>
      </c>
      <c r="B115" s="15">
        <v>46084</v>
      </c>
      <c r="C115" s="25" t="s">
        <v>59</v>
      </c>
      <c r="D115" s="16" t="s">
        <v>15</v>
      </c>
      <c r="E115" s="7"/>
      <c r="F115" s="7"/>
      <c r="G115" s="17">
        <v>30</v>
      </c>
      <c r="H115" s="17" t="s">
        <v>16</v>
      </c>
      <c r="I115" s="7">
        <v>12.6</v>
      </c>
      <c r="J115" s="18">
        <v>429</v>
      </c>
      <c r="K115" s="18">
        <v>59</v>
      </c>
      <c r="L115" s="7" t="s">
        <v>43</v>
      </c>
      <c r="M115" s="7" t="s">
        <v>17</v>
      </c>
      <c r="N115" s="7"/>
    </row>
    <row r="116" s="6" customFormat="1" hidden="1" spans="1:14">
      <c r="A116" s="25" t="s">
        <v>60</v>
      </c>
      <c r="B116" s="15">
        <v>46087</v>
      </c>
      <c r="C116" s="7" t="s">
        <v>61</v>
      </c>
      <c r="D116" s="7" t="s">
        <v>34</v>
      </c>
      <c r="E116" s="7">
        <v>12</v>
      </c>
      <c r="F116" s="7">
        <v>4</v>
      </c>
      <c r="G116" s="17">
        <f t="shared" ref="G116:G167" si="5">E116*F116</f>
        <v>48</v>
      </c>
      <c r="H116" s="17" t="s">
        <v>16</v>
      </c>
      <c r="I116" s="7">
        <v>10</v>
      </c>
      <c r="J116" s="18">
        <f>I116*G116</f>
        <v>480</v>
      </c>
      <c r="K116" s="7"/>
      <c r="L116" s="7" t="s">
        <v>43</v>
      </c>
      <c r="M116" s="7" t="s">
        <v>17</v>
      </c>
      <c r="N116" s="7"/>
    </row>
    <row r="117" s="6" customFormat="1" hidden="1" spans="1:14">
      <c r="A117" s="25" t="s">
        <v>60</v>
      </c>
      <c r="B117" s="15">
        <v>46087</v>
      </c>
      <c r="C117" s="7" t="s">
        <v>61</v>
      </c>
      <c r="D117" s="16" t="s">
        <v>15</v>
      </c>
      <c r="E117" s="7">
        <v>12</v>
      </c>
      <c r="F117" s="7">
        <v>4</v>
      </c>
      <c r="G117" s="17">
        <f t="shared" si="5"/>
        <v>48</v>
      </c>
      <c r="H117" s="17" t="s">
        <v>16</v>
      </c>
      <c r="I117" s="7">
        <v>12</v>
      </c>
      <c r="J117" s="18">
        <f>I117*G117</f>
        <v>576</v>
      </c>
      <c r="K117" s="7"/>
      <c r="L117" s="7" t="s">
        <v>43</v>
      </c>
      <c r="M117" s="7" t="s">
        <v>17</v>
      </c>
      <c r="N117" s="7"/>
    </row>
    <row r="118" s="6" customFormat="1" hidden="1" spans="1:14">
      <c r="A118" s="25" t="s">
        <v>60</v>
      </c>
      <c r="B118" s="15">
        <v>46087</v>
      </c>
      <c r="C118" s="7" t="s">
        <v>61</v>
      </c>
      <c r="D118" s="7" t="s">
        <v>33</v>
      </c>
      <c r="E118" s="7">
        <v>12</v>
      </c>
      <c r="F118" s="7">
        <v>4</v>
      </c>
      <c r="G118" s="17">
        <f t="shared" si="5"/>
        <v>48</v>
      </c>
      <c r="H118" s="17" t="s">
        <v>16</v>
      </c>
      <c r="I118" s="7">
        <v>15</v>
      </c>
      <c r="J118" s="18">
        <f>I118*G118</f>
        <v>720</v>
      </c>
      <c r="K118" s="7"/>
      <c r="L118" s="7" t="s">
        <v>43</v>
      </c>
      <c r="M118" s="7" t="s">
        <v>17</v>
      </c>
      <c r="N118" s="7"/>
    </row>
    <row r="119" s="6" customFormat="1" spans="1:14">
      <c r="A119" s="26" t="s">
        <v>62</v>
      </c>
      <c r="B119" s="27">
        <v>46089</v>
      </c>
      <c r="C119" s="26" t="s">
        <v>54</v>
      </c>
      <c r="D119" s="7" t="s">
        <v>33</v>
      </c>
      <c r="E119" s="26">
        <v>12</v>
      </c>
      <c r="F119" s="26">
        <v>50</v>
      </c>
      <c r="G119" s="28">
        <f t="shared" si="5"/>
        <v>600</v>
      </c>
      <c r="H119" s="28" t="s">
        <v>16</v>
      </c>
      <c r="I119" s="7">
        <v>15.8</v>
      </c>
      <c r="J119" s="7">
        <f>G119*I119</f>
        <v>9480</v>
      </c>
      <c r="K119" s="7"/>
      <c r="L119" s="7" t="s">
        <v>43</v>
      </c>
      <c r="M119" s="7" t="s">
        <v>17</v>
      </c>
      <c r="N119" s="7" t="s">
        <v>63</v>
      </c>
    </row>
    <row r="120" s="6" customFormat="1" spans="1:14">
      <c r="A120" s="26" t="s">
        <v>64</v>
      </c>
      <c r="B120" s="27">
        <v>46091</v>
      </c>
      <c r="C120" s="26" t="s">
        <v>52</v>
      </c>
      <c r="D120" s="7" t="s">
        <v>39</v>
      </c>
      <c r="E120" s="26">
        <v>12</v>
      </c>
      <c r="F120" s="26">
        <v>2</v>
      </c>
      <c r="G120" s="28">
        <f t="shared" si="5"/>
        <v>24</v>
      </c>
      <c r="H120" s="28" t="s">
        <v>16</v>
      </c>
      <c r="I120" s="7">
        <v>16</v>
      </c>
      <c r="J120" s="7">
        <f>G120*I120</f>
        <v>384</v>
      </c>
      <c r="K120" s="7"/>
      <c r="L120" s="7" t="s">
        <v>43</v>
      </c>
      <c r="M120" s="7" t="s">
        <v>17</v>
      </c>
      <c r="N120" s="7" t="s">
        <v>56</v>
      </c>
    </row>
    <row r="121" s="6" customFormat="1" spans="1:14">
      <c r="A121" s="26" t="s">
        <v>64</v>
      </c>
      <c r="B121" s="27">
        <v>46091</v>
      </c>
      <c r="C121" s="26" t="s">
        <v>52</v>
      </c>
      <c r="D121" s="7" t="s">
        <v>40</v>
      </c>
      <c r="E121" s="26">
        <v>12</v>
      </c>
      <c r="F121" s="26">
        <v>2</v>
      </c>
      <c r="G121" s="28">
        <f t="shared" si="5"/>
        <v>24</v>
      </c>
      <c r="H121" s="28" t="s">
        <v>16</v>
      </c>
      <c r="I121" s="7">
        <v>20</v>
      </c>
      <c r="J121" s="7">
        <f>G121*I121</f>
        <v>480</v>
      </c>
      <c r="K121" s="7"/>
      <c r="L121" s="7" t="s">
        <v>43</v>
      </c>
      <c r="M121" s="7" t="s">
        <v>17</v>
      </c>
      <c r="N121" s="7" t="s">
        <v>56</v>
      </c>
    </row>
    <row r="122" s="6" customFormat="1" ht="30" hidden="1" spans="1:14">
      <c r="A122" s="24" t="s">
        <v>65</v>
      </c>
      <c r="B122" s="15">
        <v>46094</v>
      </c>
      <c r="C122" s="7" t="s">
        <v>66</v>
      </c>
      <c r="D122" s="16" t="s">
        <v>15</v>
      </c>
      <c r="E122" s="7">
        <v>12</v>
      </c>
      <c r="F122" s="7">
        <v>60</v>
      </c>
      <c r="G122" s="17">
        <f t="shared" si="5"/>
        <v>720</v>
      </c>
      <c r="H122" s="17" t="s">
        <v>16</v>
      </c>
      <c r="I122" s="7">
        <v>12</v>
      </c>
      <c r="J122" s="18">
        <f t="shared" ref="J122:J129" si="6">I122*G122</f>
        <v>8640</v>
      </c>
      <c r="K122" s="7"/>
      <c r="L122" s="7" t="s">
        <v>43</v>
      </c>
      <c r="M122" s="7" t="s">
        <v>17</v>
      </c>
      <c r="N122" s="7"/>
    </row>
    <row r="123" s="6" customFormat="1" hidden="1" spans="1:14">
      <c r="A123" s="7" t="s">
        <v>67</v>
      </c>
      <c r="B123" s="15">
        <v>46094</v>
      </c>
      <c r="C123" s="7" t="s">
        <v>68</v>
      </c>
      <c r="D123" s="7" t="s">
        <v>44</v>
      </c>
      <c r="E123" s="7">
        <v>12</v>
      </c>
      <c r="F123" s="7">
        <v>10</v>
      </c>
      <c r="G123" s="17">
        <f t="shared" si="5"/>
        <v>120</v>
      </c>
      <c r="H123" s="17" t="s">
        <v>16</v>
      </c>
      <c r="I123" s="7">
        <v>12.8</v>
      </c>
      <c r="J123" s="18">
        <f t="shared" si="6"/>
        <v>1536</v>
      </c>
      <c r="K123" s="7"/>
      <c r="L123" s="7" t="s">
        <v>43</v>
      </c>
      <c r="M123" s="7" t="s">
        <v>17</v>
      </c>
      <c r="N123" s="7"/>
    </row>
    <row r="124" s="6" customFormat="1" hidden="1" spans="1:14">
      <c r="A124" s="7" t="s">
        <v>67</v>
      </c>
      <c r="B124" s="15">
        <v>46094</v>
      </c>
      <c r="C124" s="7" t="s">
        <v>68</v>
      </c>
      <c r="D124" s="7" t="s">
        <v>39</v>
      </c>
      <c r="E124" s="7">
        <v>12</v>
      </c>
      <c r="F124" s="7">
        <v>10</v>
      </c>
      <c r="G124" s="17">
        <f t="shared" si="5"/>
        <v>120</v>
      </c>
      <c r="H124" s="17" t="s">
        <v>16</v>
      </c>
      <c r="I124" s="7">
        <v>15</v>
      </c>
      <c r="J124" s="18">
        <f t="shared" si="6"/>
        <v>1800</v>
      </c>
      <c r="K124" s="7"/>
      <c r="L124" s="7" t="s">
        <v>43</v>
      </c>
      <c r="M124" s="7" t="s">
        <v>17</v>
      </c>
      <c r="N124" s="7"/>
    </row>
    <row r="125" s="6" customFormat="1" hidden="1" spans="1:14">
      <c r="A125" s="7" t="s">
        <v>67</v>
      </c>
      <c r="B125" s="15">
        <v>46094</v>
      </c>
      <c r="C125" s="7" t="s">
        <v>68</v>
      </c>
      <c r="D125" s="7" t="s">
        <v>40</v>
      </c>
      <c r="E125" s="7">
        <v>12</v>
      </c>
      <c r="F125" s="7">
        <v>9</v>
      </c>
      <c r="G125" s="17">
        <f t="shared" si="5"/>
        <v>108</v>
      </c>
      <c r="H125" s="17" t="s">
        <v>16</v>
      </c>
      <c r="I125" s="7">
        <v>18</v>
      </c>
      <c r="J125" s="18">
        <f t="shared" si="6"/>
        <v>1944</v>
      </c>
      <c r="K125" s="7"/>
      <c r="L125" s="7" t="s">
        <v>43</v>
      </c>
      <c r="M125" s="7" t="s">
        <v>17</v>
      </c>
      <c r="N125" s="7"/>
    </row>
    <row r="126" s="6" customFormat="1" hidden="1" spans="1:14">
      <c r="A126" s="7" t="s">
        <v>67</v>
      </c>
      <c r="B126" s="15">
        <v>46094</v>
      </c>
      <c r="C126" s="7" t="s">
        <v>68</v>
      </c>
      <c r="D126" s="16" t="s">
        <v>15</v>
      </c>
      <c r="E126" s="7">
        <v>12</v>
      </c>
      <c r="F126" s="7">
        <v>10</v>
      </c>
      <c r="G126" s="17">
        <f t="shared" si="5"/>
        <v>120</v>
      </c>
      <c r="H126" s="17" t="s">
        <v>16</v>
      </c>
      <c r="I126" s="7">
        <v>12</v>
      </c>
      <c r="J126" s="18">
        <f t="shared" si="6"/>
        <v>1440</v>
      </c>
      <c r="K126" s="7"/>
      <c r="L126" s="7" t="s">
        <v>43</v>
      </c>
      <c r="M126" s="7" t="s">
        <v>17</v>
      </c>
      <c r="N126" s="7"/>
    </row>
    <row r="127" s="6" customFormat="1" hidden="1" spans="1:14">
      <c r="A127" s="7" t="s">
        <v>67</v>
      </c>
      <c r="B127" s="15">
        <v>46094</v>
      </c>
      <c r="C127" s="7" t="s">
        <v>68</v>
      </c>
      <c r="D127" s="7" t="s">
        <v>33</v>
      </c>
      <c r="E127" s="7">
        <v>12</v>
      </c>
      <c r="F127" s="7">
        <v>10</v>
      </c>
      <c r="G127" s="17">
        <f t="shared" si="5"/>
        <v>120</v>
      </c>
      <c r="H127" s="17" t="s">
        <v>16</v>
      </c>
      <c r="I127" s="7">
        <v>15</v>
      </c>
      <c r="J127" s="18">
        <f t="shared" si="6"/>
        <v>1800</v>
      </c>
      <c r="K127" s="7"/>
      <c r="L127" s="7" t="s">
        <v>43</v>
      </c>
      <c r="M127" s="7" t="s">
        <v>17</v>
      </c>
      <c r="N127" s="7"/>
    </row>
    <row r="128" s="6" customFormat="1" hidden="1" spans="1:14">
      <c r="A128" s="7" t="s">
        <v>67</v>
      </c>
      <c r="B128" s="15">
        <v>46094</v>
      </c>
      <c r="C128" s="7" t="s">
        <v>68</v>
      </c>
      <c r="D128" s="7" t="s">
        <v>53</v>
      </c>
      <c r="E128" s="7">
        <v>12</v>
      </c>
      <c r="F128" s="7">
        <v>5</v>
      </c>
      <c r="G128" s="17">
        <f t="shared" si="5"/>
        <v>60</v>
      </c>
      <c r="H128" s="17" t="s">
        <v>16</v>
      </c>
      <c r="I128" s="7">
        <v>13.5</v>
      </c>
      <c r="J128" s="18">
        <f t="shared" si="6"/>
        <v>810</v>
      </c>
      <c r="K128" s="7"/>
      <c r="L128" s="7" t="s">
        <v>43</v>
      </c>
      <c r="M128" s="7" t="s">
        <v>17</v>
      </c>
      <c r="N128" s="7"/>
    </row>
    <row r="129" s="6" customFormat="1" hidden="1" spans="1:14">
      <c r="A129" s="7" t="s">
        <v>67</v>
      </c>
      <c r="B129" s="15">
        <v>46094</v>
      </c>
      <c r="C129" s="7" t="s">
        <v>68</v>
      </c>
      <c r="D129" s="7" t="s">
        <v>69</v>
      </c>
      <c r="E129" s="7">
        <v>12</v>
      </c>
      <c r="F129" s="7">
        <v>5</v>
      </c>
      <c r="G129" s="17">
        <f t="shared" si="5"/>
        <v>60</v>
      </c>
      <c r="H129" s="17" t="s">
        <v>16</v>
      </c>
      <c r="I129" s="7">
        <v>18</v>
      </c>
      <c r="J129" s="18">
        <f t="shared" si="6"/>
        <v>1080</v>
      </c>
      <c r="K129" s="7"/>
      <c r="L129" s="7" t="s">
        <v>43</v>
      </c>
      <c r="M129" s="7" t="s">
        <v>17</v>
      </c>
      <c r="N129" s="7"/>
    </row>
    <row r="130" s="6" customFormat="1" hidden="1" spans="1:14">
      <c r="A130" s="7" t="s">
        <v>67</v>
      </c>
      <c r="B130" s="15">
        <v>46094</v>
      </c>
      <c r="C130" s="7" t="s">
        <v>68</v>
      </c>
      <c r="D130" s="7" t="s">
        <v>70</v>
      </c>
      <c r="E130" s="7">
        <v>12</v>
      </c>
      <c r="F130" s="7">
        <v>5</v>
      </c>
      <c r="G130" s="17">
        <f t="shared" si="5"/>
        <v>60</v>
      </c>
      <c r="H130" s="17" t="s">
        <v>16</v>
      </c>
      <c r="I130" s="7"/>
      <c r="J130" s="18"/>
      <c r="K130" s="7"/>
      <c r="L130" s="7" t="s">
        <v>43</v>
      </c>
      <c r="M130" s="7" t="s">
        <v>17</v>
      </c>
      <c r="N130" s="7" t="s">
        <v>71</v>
      </c>
    </row>
    <row r="131" s="6" customFormat="1" spans="1:14">
      <c r="A131" s="29" t="s">
        <v>72</v>
      </c>
      <c r="B131" s="30">
        <v>46095</v>
      </c>
      <c r="C131" s="29" t="s">
        <v>73</v>
      </c>
      <c r="D131" s="7" t="s">
        <v>33</v>
      </c>
      <c r="E131" s="29">
        <v>12</v>
      </c>
      <c r="F131" s="29">
        <v>10</v>
      </c>
      <c r="G131" s="31">
        <f t="shared" si="5"/>
        <v>120</v>
      </c>
      <c r="H131" s="31" t="s">
        <v>16</v>
      </c>
      <c r="I131" s="7">
        <v>15.8</v>
      </c>
      <c r="J131" s="7">
        <f>G131*I131</f>
        <v>1896</v>
      </c>
      <c r="K131" s="7"/>
      <c r="L131" s="7" t="s">
        <v>43</v>
      </c>
      <c r="M131" s="7" t="s">
        <v>17</v>
      </c>
      <c r="N131" s="7"/>
    </row>
    <row r="132" s="6" customFormat="1" hidden="1" spans="1:14">
      <c r="A132" s="16" t="s">
        <v>74</v>
      </c>
      <c r="B132" s="32">
        <v>46097</v>
      </c>
      <c r="C132" s="33" t="s">
        <v>75</v>
      </c>
      <c r="D132" s="16" t="s">
        <v>15</v>
      </c>
      <c r="E132" s="16">
        <v>12</v>
      </c>
      <c r="F132" s="16">
        <v>100</v>
      </c>
      <c r="G132" s="31">
        <f t="shared" si="5"/>
        <v>1200</v>
      </c>
      <c r="H132" s="28" t="s">
        <v>16</v>
      </c>
      <c r="I132" s="7">
        <v>12</v>
      </c>
      <c r="J132" s="18">
        <f>I132*G132</f>
        <v>14400</v>
      </c>
      <c r="K132" s="7"/>
      <c r="L132" s="7" t="s">
        <v>43</v>
      </c>
      <c r="M132" s="7" t="s">
        <v>17</v>
      </c>
      <c r="N132" s="7"/>
    </row>
    <row r="133" s="6" customFormat="1" spans="1:14">
      <c r="A133" s="16" t="s">
        <v>76</v>
      </c>
      <c r="B133" s="32">
        <v>46098</v>
      </c>
      <c r="C133" s="33" t="s">
        <v>77</v>
      </c>
      <c r="D133" s="7" t="s">
        <v>34</v>
      </c>
      <c r="E133" s="16">
        <v>12</v>
      </c>
      <c r="F133" s="16">
        <v>30</v>
      </c>
      <c r="G133" s="31">
        <f t="shared" si="5"/>
        <v>360</v>
      </c>
      <c r="H133" s="28" t="s">
        <v>16</v>
      </c>
      <c r="I133" s="7">
        <v>11.5</v>
      </c>
      <c r="J133" s="7">
        <f>G133*I133</f>
        <v>4140</v>
      </c>
      <c r="K133" s="7"/>
      <c r="L133" s="7" t="s">
        <v>43</v>
      </c>
      <c r="M133" s="7" t="s">
        <v>17</v>
      </c>
      <c r="N133" s="7"/>
    </row>
    <row r="134" s="6" customFormat="1" spans="1:14">
      <c r="A134" s="16" t="s">
        <v>76</v>
      </c>
      <c r="B134" s="32">
        <v>46098</v>
      </c>
      <c r="C134" s="33" t="s">
        <v>77</v>
      </c>
      <c r="D134" s="16" t="s">
        <v>15</v>
      </c>
      <c r="E134" s="16">
        <v>12</v>
      </c>
      <c r="F134" s="16">
        <v>30</v>
      </c>
      <c r="G134" s="31">
        <f t="shared" si="5"/>
        <v>360</v>
      </c>
      <c r="H134" s="28" t="s">
        <v>16</v>
      </c>
      <c r="I134" s="7">
        <v>14</v>
      </c>
      <c r="J134" s="7">
        <f>G134*I134</f>
        <v>5040</v>
      </c>
      <c r="K134" s="7"/>
      <c r="L134" s="7" t="s">
        <v>43</v>
      </c>
      <c r="M134" s="7" t="s">
        <v>17</v>
      </c>
      <c r="N134" s="7"/>
    </row>
    <row r="135" s="6" customFormat="1" spans="1:14">
      <c r="A135" s="16" t="s">
        <v>76</v>
      </c>
      <c r="B135" s="32">
        <v>46098</v>
      </c>
      <c r="C135" s="33" t="s">
        <v>77</v>
      </c>
      <c r="D135" s="7" t="s">
        <v>33</v>
      </c>
      <c r="E135" s="16">
        <v>12</v>
      </c>
      <c r="F135" s="16">
        <v>30</v>
      </c>
      <c r="G135" s="31">
        <f t="shared" si="5"/>
        <v>360</v>
      </c>
      <c r="H135" s="28" t="s">
        <v>16</v>
      </c>
      <c r="I135" s="7">
        <v>18</v>
      </c>
      <c r="J135" s="7">
        <f>G135*I135</f>
        <v>6480</v>
      </c>
      <c r="K135" s="7"/>
      <c r="L135" s="7" t="s">
        <v>43</v>
      </c>
      <c r="M135" s="7" t="s">
        <v>17</v>
      </c>
      <c r="N135" s="7"/>
    </row>
    <row r="136" s="6" customFormat="1" spans="1:14">
      <c r="A136" s="16" t="s">
        <v>76</v>
      </c>
      <c r="B136" s="32">
        <v>46098</v>
      </c>
      <c r="C136" s="33" t="s">
        <v>77</v>
      </c>
      <c r="D136" s="17" t="s">
        <v>48</v>
      </c>
      <c r="E136" s="16">
        <v>12</v>
      </c>
      <c r="F136" s="16">
        <v>30</v>
      </c>
      <c r="G136" s="31">
        <f t="shared" si="5"/>
        <v>360</v>
      </c>
      <c r="H136" s="28" t="s">
        <v>16</v>
      </c>
      <c r="I136" s="7">
        <v>17.5</v>
      </c>
      <c r="J136" s="7">
        <f>G136*I136</f>
        <v>6300</v>
      </c>
      <c r="K136" s="7"/>
      <c r="L136" s="7" t="s">
        <v>43</v>
      </c>
      <c r="M136" s="7" t="s">
        <v>17</v>
      </c>
      <c r="N136" s="7"/>
    </row>
    <row r="137" s="6" customFormat="1" hidden="1" spans="1:14">
      <c r="A137" s="16" t="s">
        <v>78</v>
      </c>
      <c r="B137" s="32">
        <v>46098</v>
      </c>
      <c r="C137" s="33" t="s">
        <v>75</v>
      </c>
      <c r="D137" s="7" t="s">
        <v>33</v>
      </c>
      <c r="E137" s="16">
        <v>12</v>
      </c>
      <c r="F137" s="16">
        <v>10</v>
      </c>
      <c r="G137" s="31">
        <f t="shared" si="5"/>
        <v>120</v>
      </c>
      <c r="H137" s="28" t="s">
        <v>16</v>
      </c>
      <c r="I137" s="7">
        <v>15</v>
      </c>
      <c r="J137" s="18">
        <f t="shared" ref="J137:J147" si="7">I137*G137</f>
        <v>1800</v>
      </c>
      <c r="K137" s="7"/>
      <c r="L137" s="7" t="s">
        <v>43</v>
      </c>
      <c r="M137" s="7" t="s">
        <v>17</v>
      </c>
      <c r="N137" s="7"/>
    </row>
    <row r="138" s="6" customFormat="1" hidden="1" spans="1:14">
      <c r="A138" s="26" t="s">
        <v>79</v>
      </c>
      <c r="B138" s="34">
        <v>46099</v>
      </c>
      <c r="C138" s="26" t="s">
        <v>80</v>
      </c>
      <c r="D138" s="16" t="s">
        <v>15</v>
      </c>
      <c r="E138" s="7">
        <v>12</v>
      </c>
      <c r="F138" s="7">
        <v>20</v>
      </c>
      <c r="G138" s="17">
        <f t="shared" si="5"/>
        <v>240</v>
      </c>
      <c r="H138" s="17" t="s">
        <v>16</v>
      </c>
      <c r="I138" s="7">
        <v>12</v>
      </c>
      <c r="J138" s="18">
        <f t="shared" si="7"/>
        <v>2880</v>
      </c>
      <c r="K138" s="7"/>
      <c r="L138" s="7" t="s">
        <v>43</v>
      </c>
      <c r="M138" s="7" t="s">
        <v>17</v>
      </c>
      <c r="N138" s="7"/>
    </row>
    <row r="139" s="6" customFormat="1" ht="30" hidden="1" spans="1:14">
      <c r="A139" s="29" t="s">
        <v>81</v>
      </c>
      <c r="B139" s="30">
        <v>46099</v>
      </c>
      <c r="C139" s="29" t="s">
        <v>82</v>
      </c>
      <c r="D139" s="29" t="s">
        <v>32</v>
      </c>
      <c r="E139" s="29">
        <v>12</v>
      </c>
      <c r="F139" s="29">
        <v>15</v>
      </c>
      <c r="G139" s="31">
        <f t="shared" si="5"/>
        <v>180</v>
      </c>
      <c r="H139" s="31" t="s">
        <v>16</v>
      </c>
      <c r="I139" s="7">
        <v>15</v>
      </c>
      <c r="J139" s="18">
        <f t="shared" si="7"/>
        <v>2700</v>
      </c>
      <c r="K139" s="7"/>
      <c r="L139" s="7" t="s">
        <v>43</v>
      </c>
      <c r="M139" s="7" t="s">
        <v>17</v>
      </c>
      <c r="N139" s="7"/>
    </row>
    <row r="140" s="6" customFormat="1" ht="30" hidden="1" spans="1:14">
      <c r="A140" s="29" t="s">
        <v>81</v>
      </c>
      <c r="B140" s="30">
        <v>46099</v>
      </c>
      <c r="C140" s="29" t="s">
        <v>82</v>
      </c>
      <c r="D140" s="16" t="s">
        <v>15</v>
      </c>
      <c r="E140" s="29">
        <v>12</v>
      </c>
      <c r="F140" s="29">
        <v>15</v>
      </c>
      <c r="G140" s="31">
        <f t="shared" si="5"/>
        <v>180</v>
      </c>
      <c r="H140" s="31" t="s">
        <v>16</v>
      </c>
      <c r="I140" s="7">
        <v>12</v>
      </c>
      <c r="J140" s="18">
        <f t="shared" si="7"/>
        <v>2160</v>
      </c>
      <c r="K140" s="7"/>
      <c r="L140" s="7" t="s">
        <v>43</v>
      </c>
      <c r="M140" s="7" t="s">
        <v>17</v>
      </c>
      <c r="N140" s="7"/>
    </row>
    <row r="141" s="6" customFormat="1" hidden="1" spans="1:14">
      <c r="A141" s="29" t="s">
        <v>83</v>
      </c>
      <c r="B141" s="30">
        <v>46099</v>
      </c>
      <c r="C141" s="29" t="s">
        <v>84</v>
      </c>
      <c r="D141" s="16" t="s">
        <v>15</v>
      </c>
      <c r="E141" s="29">
        <v>12</v>
      </c>
      <c r="F141" s="29">
        <v>30</v>
      </c>
      <c r="G141" s="31">
        <f t="shared" si="5"/>
        <v>360</v>
      </c>
      <c r="H141" s="31" t="s">
        <v>16</v>
      </c>
      <c r="I141" s="7">
        <v>12</v>
      </c>
      <c r="J141" s="18">
        <f t="shared" si="7"/>
        <v>4320</v>
      </c>
      <c r="K141" s="7"/>
      <c r="L141" s="7" t="s">
        <v>43</v>
      </c>
      <c r="M141" s="7" t="s">
        <v>17</v>
      </c>
      <c r="N141" s="7"/>
    </row>
    <row r="142" s="6" customFormat="1" hidden="1" spans="1:14">
      <c r="A142" s="29" t="s">
        <v>85</v>
      </c>
      <c r="B142" s="30">
        <v>46099</v>
      </c>
      <c r="C142" s="29" t="s">
        <v>86</v>
      </c>
      <c r="D142" s="7" t="s">
        <v>50</v>
      </c>
      <c r="E142" s="29">
        <v>12</v>
      </c>
      <c r="F142" s="29">
        <v>10</v>
      </c>
      <c r="G142" s="31">
        <f t="shared" si="5"/>
        <v>120</v>
      </c>
      <c r="H142" s="31" t="s">
        <v>16</v>
      </c>
      <c r="I142" s="7">
        <v>17.5</v>
      </c>
      <c r="J142" s="18">
        <f t="shared" si="7"/>
        <v>2100</v>
      </c>
      <c r="K142" s="7"/>
      <c r="L142" s="7" t="s">
        <v>43</v>
      </c>
      <c r="M142" s="7" t="s">
        <v>17</v>
      </c>
      <c r="N142" s="7"/>
    </row>
    <row r="143" s="6" customFormat="1" hidden="1" spans="1:14">
      <c r="A143" s="29" t="s">
        <v>85</v>
      </c>
      <c r="B143" s="30">
        <v>46099</v>
      </c>
      <c r="C143" s="29" t="s">
        <v>86</v>
      </c>
      <c r="D143" s="7" t="s">
        <v>33</v>
      </c>
      <c r="E143" s="29">
        <v>12</v>
      </c>
      <c r="F143" s="29">
        <v>13</v>
      </c>
      <c r="G143" s="31">
        <f t="shared" si="5"/>
        <v>156</v>
      </c>
      <c r="H143" s="31" t="s">
        <v>16</v>
      </c>
      <c r="I143" s="7">
        <v>15</v>
      </c>
      <c r="J143" s="18">
        <f t="shared" si="7"/>
        <v>2340</v>
      </c>
      <c r="K143" s="7"/>
      <c r="L143" s="7" t="s">
        <v>43</v>
      </c>
      <c r="M143" s="7" t="s">
        <v>17</v>
      </c>
      <c r="N143" s="7"/>
    </row>
    <row r="144" s="6" customFormat="1" hidden="1" spans="1:14">
      <c r="A144" s="29" t="s">
        <v>85</v>
      </c>
      <c r="B144" s="30">
        <v>46099</v>
      </c>
      <c r="C144" s="29" t="s">
        <v>86</v>
      </c>
      <c r="D144" s="16" t="s">
        <v>15</v>
      </c>
      <c r="E144" s="29">
        <v>12</v>
      </c>
      <c r="F144" s="29">
        <v>10</v>
      </c>
      <c r="G144" s="31">
        <f t="shared" si="5"/>
        <v>120</v>
      </c>
      <c r="H144" s="31" t="s">
        <v>16</v>
      </c>
      <c r="I144" s="7">
        <v>12</v>
      </c>
      <c r="J144" s="18">
        <f t="shared" si="7"/>
        <v>1440</v>
      </c>
      <c r="K144" s="7"/>
      <c r="L144" s="7" t="s">
        <v>43</v>
      </c>
      <c r="M144" s="7" t="s">
        <v>17</v>
      </c>
      <c r="N144" s="7"/>
    </row>
    <row r="145" s="6" customFormat="1" hidden="1" spans="1:14">
      <c r="A145" s="29" t="s">
        <v>87</v>
      </c>
      <c r="B145" s="30">
        <v>46099</v>
      </c>
      <c r="C145" s="29" t="s">
        <v>88</v>
      </c>
      <c r="D145" s="7" t="s">
        <v>33</v>
      </c>
      <c r="E145" s="29">
        <v>12</v>
      </c>
      <c r="F145" s="29">
        <v>15</v>
      </c>
      <c r="G145" s="31">
        <f t="shared" si="5"/>
        <v>180</v>
      </c>
      <c r="H145" s="31" t="s">
        <v>16</v>
      </c>
      <c r="I145" s="7">
        <v>15</v>
      </c>
      <c r="J145" s="18">
        <f t="shared" si="7"/>
        <v>2700</v>
      </c>
      <c r="K145" s="7"/>
      <c r="L145" s="7" t="s">
        <v>43</v>
      </c>
      <c r="M145" s="7" t="s">
        <v>17</v>
      </c>
      <c r="N145" s="7"/>
    </row>
    <row r="146" s="6" customFormat="1" hidden="1" spans="1:14">
      <c r="A146" s="29" t="s">
        <v>87</v>
      </c>
      <c r="B146" s="30">
        <v>46099</v>
      </c>
      <c r="C146" s="29" t="s">
        <v>88</v>
      </c>
      <c r="D146" s="7" t="s">
        <v>33</v>
      </c>
      <c r="E146" s="26">
        <v>12</v>
      </c>
      <c r="F146" s="26">
        <v>50</v>
      </c>
      <c r="G146" s="31">
        <f t="shared" si="5"/>
        <v>600</v>
      </c>
      <c r="H146" s="31" t="s">
        <v>16</v>
      </c>
      <c r="I146" s="7">
        <v>15</v>
      </c>
      <c r="J146" s="18">
        <f t="shared" si="7"/>
        <v>9000</v>
      </c>
      <c r="K146" s="7"/>
      <c r="L146" s="7" t="s">
        <v>43</v>
      </c>
      <c r="M146" s="7" t="s">
        <v>17</v>
      </c>
      <c r="N146" s="7"/>
    </row>
    <row r="147" s="6" customFormat="1" hidden="1" spans="1:14">
      <c r="A147" s="16" t="s">
        <v>89</v>
      </c>
      <c r="B147" s="32">
        <v>46099</v>
      </c>
      <c r="C147" s="33" t="s">
        <v>90</v>
      </c>
      <c r="D147" s="7" t="s">
        <v>33</v>
      </c>
      <c r="E147" s="16">
        <v>12</v>
      </c>
      <c r="F147" s="16">
        <v>30</v>
      </c>
      <c r="G147" s="31">
        <f t="shared" si="5"/>
        <v>360</v>
      </c>
      <c r="H147" s="28" t="s">
        <v>16</v>
      </c>
      <c r="I147" s="7">
        <v>15</v>
      </c>
      <c r="J147" s="18">
        <f t="shared" si="7"/>
        <v>5400</v>
      </c>
      <c r="K147" s="7"/>
      <c r="L147" s="7" t="s">
        <v>43</v>
      </c>
      <c r="M147" s="7" t="s">
        <v>17</v>
      </c>
      <c r="N147" s="7"/>
    </row>
    <row r="148" s="6" customFormat="1" hidden="1" spans="1:14">
      <c r="A148" s="26" t="s">
        <v>91</v>
      </c>
      <c r="B148" s="27">
        <v>46100</v>
      </c>
      <c r="C148" s="26" t="s">
        <v>92</v>
      </c>
      <c r="D148" s="7" t="s">
        <v>33</v>
      </c>
      <c r="E148" s="26">
        <v>12</v>
      </c>
      <c r="F148" s="26">
        <v>25</v>
      </c>
      <c r="G148" s="28">
        <f t="shared" si="5"/>
        <v>300</v>
      </c>
      <c r="H148" s="28" t="s">
        <v>16</v>
      </c>
      <c r="I148" s="7">
        <v>15.6</v>
      </c>
      <c r="J148" s="7">
        <f>G148*I148</f>
        <v>4680</v>
      </c>
      <c r="K148" s="7"/>
      <c r="L148" s="7" t="s">
        <v>17</v>
      </c>
      <c r="M148" s="7" t="s">
        <v>17</v>
      </c>
      <c r="N148" s="7"/>
    </row>
    <row r="149" s="6" customFormat="1" spans="1:14">
      <c r="A149" s="29" t="s">
        <v>93</v>
      </c>
      <c r="B149" s="27">
        <v>46101</v>
      </c>
      <c r="C149" s="29" t="s">
        <v>94</v>
      </c>
      <c r="D149" s="29" t="s">
        <v>95</v>
      </c>
      <c r="E149" s="29">
        <v>12</v>
      </c>
      <c r="F149" s="29">
        <v>50</v>
      </c>
      <c r="G149" s="31">
        <f t="shared" si="5"/>
        <v>600</v>
      </c>
      <c r="H149" s="31" t="s">
        <v>16</v>
      </c>
      <c r="I149" s="7">
        <v>19</v>
      </c>
      <c r="J149" s="7">
        <f>G149*I149</f>
        <v>11400</v>
      </c>
      <c r="K149" s="7"/>
      <c r="L149" s="7" t="s">
        <v>43</v>
      </c>
      <c r="M149" s="7" t="s">
        <v>17</v>
      </c>
      <c r="N149" s="7"/>
    </row>
    <row r="150" s="6" customFormat="1" spans="1:14">
      <c r="A150" s="16" t="s">
        <v>96</v>
      </c>
      <c r="B150" s="27">
        <v>46101</v>
      </c>
      <c r="C150" s="33" t="s">
        <v>94</v>
      </c>
      <c r="D150" s="16" t="s">
        <v>15</v>
      </c>
      <c r="E150" s="16">
        <v>12</v>
      </c>
      <c r="F150" s="16">
        <v>100</v>
      </c>
      <c r="G150" s="31">
        <f t="shared" si="5"/>
        <v>1200</v>
      </c>
      <c r="H150" s="28" t="s">
        <v>16</v>
      </c>
      <c r="I150" s="7">
        <v>12.2</v>
      </c>
      <c r="J150" s="7">
        <f>G150*I150</f>
        <v>14640</v>
      </c>
      <c r="K150" s="7"/>
      <c r="L150" s="7" t="s">
        <v>43</v>
      </c>
      <c r="M150" s="7" t="s">
        <v>17</v>
      </c>
      <c r="N150" s="7"/>
    </row>
    <row r="151" s="6" customFormat="1" spans="1:14">
      <c r="A151" s="16" t="s">
        <v>97</v>
      </c>
      <c r="B151" s="32">
        <v>46101</v>
      </c>
      <c r="C151" s="33" t="s">
        <v>52</v>
      </c>
      <c r="D151" s="16" t="s">
        <v>15</v>
      </c>
      <c r="E151" s="16">
        <v>12</v>
      </c>
      <c r="F151" s="16">
        <v>20</v>
      </c>
      <c r="G151" s="31">
        <f t="shared" si="5"/>
        <v>240</v>
      </c>
      <c r="H151" s="28" t="s">
        <v>16</v>
      </c>
      <c r="I151" s="7">
        <v>12.5</v>
      </c>
      <c r="J151" s="7">
        <f>G151*I151</f>
        <v>3000</v>
      </c>
      <c r="K151" s="7"/>
      <c r="L151" s="7" t="s">
        <v>43</v>
      </c>
      <c r="M151" s="7" t="s">
        <v>17</v>
      </c>
      <c r="N151" s="7" t="s">
        <v>56</v>
      </c>
    </row>
    <row r="152" s="6" customFormat="1" spans="1:14">
      <c r="A152" s="16" t="s">
        <v>97</v>
      </c>
      <c r="B152" s="32">
        <v>46101</v>
      </c>
      <c r="C152" s="33" t="s">
        <v>52</v>
      </c>
      <c r="D152" s="7" t="s">
        <v>33</v>
      </c>
      <c r="E152" s="16">
        <v>12</v>
      </c>
      <c r="F152" s="16">
        <v>6</v>
      </c>
      <c r="G152" s="31">
        <f t="shared" si="5"/>
        <v>72</v>
      </c>
      <c r="H152" s="28" t="s">
        <v>16</v>
      </c>
      <c r="I152" s="7">
        <v>16</v>
      </c>
      <c r="J152" s="7">
        <f>G152*I152</f>
        <v>1152</v>
      </c>
      <c r="K152" s="7"/>
      <c r="L152" s="7" t="s">
        <v>43</v>
      </c>
      <c r="M152" s="7" t="s">
        <v>17</v>
      </c>
      <c r="N152" s="7" t="s">
        <v>56</v>
      </c>
    </row>
    <row r="153" s="6" customFormat="1" hidden="1" spans="1:14">
      <c r="A153" s="35" t="s">
        <v>98</v>
      </c>
      <c r="B153" s="36">
        <v>46100</v>
      </c>
      <c r="C153" s="37" t="s">
        <v>75</v>
      </c>
      <c r="D153" s="7" t="s">
        <v>33</v>
      </c>
      <c r="E153" s="38">
        <v>12</v>
      </c>
      <c r="F153" s="38">
        <v>75</v>
      </c>
      <c r="G153" s="39">
        <f t="shared" si="5"/>
        <v>900</v>
      </c>
      <c r="H153" s="39" t="s">
        <v>16</v>
      </c>
      <c r="I153" s="38">
        <v>15</v>
      </c>
      <c r="J153" s="40">
        <f t="shared" ref="J153:J169" si="8">I153*G153</f>
        <v>13500</v>
      </c>
      <c r="K153" s="38"/>
      <c r="L153" s="7" t="s">
        <v>43</v>
      </c>
      <c r="M153" s="7" t="s">
        <v>17</v>
      </c>
      <c r="N153" s="38" t="s">
        <v>99</v>
      </c>
    </row>
    <row r="154" s="6" customFormat="1" hidden="1" spans="1:14">
      <c r="A154" s="35" t="s">
        <v>98</v>
      </c>
      <c r="B154" s="36">
        <v>46100</v>
      </c>
      <c r="C154" s="37" t="s">
        <v>75</v>
      </c>
      <c r="D154" s="38" t="s">
        <v>100</v>
      </c>
      <c r="E154" s="38">
        <v>12</v>
      </c>
      <c r="F154" s="38">
        <v>50</v>
      </c>
      <c r="G154" s="39">
        <f t="shared" si="5"/>
        <v>600</v>
      </c>
      <c r="H154" s="39" t="s">
        <v>16</v>
      </c>
      <c r="I154" s="38">
        <v>35</v>
      </c>
      <c r="J154" s="40">
        <f t="shared" si="8"/>
        <v>21000</v>
      </c>
      <c r="K154" s="38"/>
      <c r="L154" s="7" t="s">
        <v>43</v>
      </c>
      <c r="M154" s="7" t="s">
        <v>17</v>
      </c>
      <c r="N154" s="38"/>
    </row>
    <row r="155" s="6" customFormat="1" hidden="1" spans="1:14">
      <c r="A155" s="24" t="s">
        <v>101</v>
      </c>
      <c r="B155" s="41">
        <v>46102</v>
      </c>
      <c r="C155" s="24" t="s">
        <v>102</v>
      </c>
      <c r="D155" s="24" t="s">
        <v>15</v>
      </c>
      <c r="E155" s="24">
        <v>12</v>
      </c>
      <c r="F155" s="24">
        <v>20</v>
      </c>
      <c r="G155" s="42">
        <f t="shared" si="5"/>
        <v>240</v>
      </c>
      <c r="H155" s="42" t="s">
        <v>16</v>
      </c>
      <c r="I155" s="7">
        <v>12.5</v>
      </c>
      <c r="J155" s="18">
        <f t="shared" si="8"/>
        <v>3000</v>
      </c>
      <c r="K155" s="7"/>
      <c r="L155" s="7" t="s">
        <v>43</v>
      </c>
      <c r="M155" s="7" t="s">
        <v>17</v>
      </c>
      <c r="N155" s="7" t="s">
        <v>103</v>
      </c>
    </row>
    <row r="156" s="6" customFormat="1" hidden="1" spans="1:14">
      <c r="A156" s="26" t="s">
        <v>101</v>
      </c>
      <c r="B156" s="27">
        <v>46102</v>
      </c>
      <c r="C156" s="26" t="s">
        <v>102</v>
      </c>
      <c r="D156" s="7" t="s">
        <v>50</v>
      </c>
      <c r="E156" s="26">
        <v>12</v>
      </c>
      <c r="F156" s="26">
        <v>20</v>
      </c>
      <c r="G156" s="28">
        <f t="shared" si="5"/>
        <v>240</v>
      </c>
      <c r="H156" s="28" t="s">
        <v>16</v>
      </c>
      <c r="I156" s="7">
        <v>17.5</v>
      </c>
      <c r="J156" s="18">
        <f t="shared" si="8"/>
        <v>4200</v>
      </c>
      <c r="K156" s="7"/>
      <c r="L156" s="7" t="s">
        <v>43</v>
      </c>
      <c r="M156" s="7" t="s">
        <v>17</v>
      </c>
      <c r="N156" s="7"/>
    </row>
    <row r="157" s="6" customFormat="1" hidden="1" spans="1:14">
      <c r="A157" s="26" t="s">
        <v>104</v>
      </c>
      <c r="B157" s="27">
        <v>46102</v>
      </c>
      <c r="C157" s="26" t="s">
        <v>105</v>
      </c>
      <c r="D157" s="26" t="s">
        <v>15</v>
      </c>
      <c r="E157" s="26">
        <v>12</v>
      </c>
      <c r="F157" s="26">
        <v>5</v>
      </c>
      <c r="G157" s="28">
        <f t="shared" si="5"/>
        <v>60</v>
      </c>
      <c r="H157" s="28" t="s">
        <v>16</v>
      </c>
      <c r="I157" s="7">
        <v>12</v>
      </c>
      <c r="J157" s="18">
        <f t="shared" si="8"/>
        <v>720</v>
      </c>
      <c r="K157" s="7"/>
      <c r="L157" s="7" t="s">
        <v>43</v>
      </c>
      <c r="M157" s="7" t="s">
        <v>17</v>
      </c>
      <c r="N157" s="7" t="s">
        <v>106</v>
      </c>
    </row>
    <row r="158" s="6" customFormat="1" hidden="1" spans="1:14">
      <c r="A158" s="26" t="s">
        <v>104</v>
      </c>
      <c r="B158" s="27">
        <v>46102</v>
      </c>
      <c r="C158" s="26" t="s">
        <v>105</v>
      </c>
      <c r="D158" s="29" t="s">
        <v>32</v>
      </c>
      <c r="E158" s="26">
        <v>12</v>
      </c>
      <c r="F158" s="26">
        <v>10</v>
      </c>
      <c r="G158" s="28">
        <f t="shared" si="5"/>
        <v>120</v>
      </c>
      <c r="H158" s="28" t="s">
        <v>16</v>
      </c>
      <c r="I158" s="7">
        <v>15</v>
      </c>
      <c r="J158" s="18">
        <f t="shared" si="8"/>
        <v>1800</v>
      </c>
      <c r="K158" s="7"/>
      <c r="L158" s="7" t="s">
        <v>43</v>
      </c>
      <c r="M158" s="7" t="s">
        <v>17</v>
      </c>
      <c r="N158" s="7"/>
    </row>
    <row r="159" s="6" customFormat="1" hidden="1" spans="1:14">
      <c r="A159" s="16" t="s">
        <v>107</v>
      </c>
      <c r="B159" s="32">
        <v>46102</v>
      </c>
      <c r="C159" s="33" t="s">
        <v>108</v>
      </c>
      <c r="D159" s="16" t="s">
        <v>15</v>
      </c>
      <c r="E159" s="16">
        <v>12</v>
      </c>
      <c r="F159" s="16">
        <v>20</v>
      </c>
      <c r="G159" s="31">
        <f t="shared" si="5"/>
        <v>240</v>
      </c>
      <c r="H159" s="28" t="s">
        <v>16</v>
      </c>
      <c r="I159" s="7">
        <v>12</v>
      </c>
      <c r="J159" s="18">
        <f t="shared" si="8"/>
        <v>2880</v>
      </c>
      <c r="K159" s="7"/>
      <c r="L159" s="7" t="s">
        <v>43</v>
      </c>
      <c r="M159" s="7" t="s">
        <v>17</v>
      </c>
      <c r="N159" s="7"/>
    </row>
    <row r="160" s="6" customFormat="1" hidden="1" spans="1:14">
      <c r="A160" s="16" t="s">
        <v>107</v>
      </c>
      <c r="B160" s="32">
        <v>46102</v>
      </c>
      <c r="C160" s="33" t="s">
        <v>108</v>
      </c>
      <c r="D160" s="7" t="s">
        <v>33</v>
      </c>
      <c r="E160" s="16">
        <v>12</v>
      </c>
      <c r="F160" s="16">
        <v>20</v>
      </c>
      <c r="G160" s="31">
        <f t="shared" si="5"/>
        <v>240</v>
      </c>
      <c r="H160" s="28" t="s">
        <v>16</v>
      </c>
      <c r="I160" s="7">
        <v>15</v>
      </c>
      <c r="J160" s="18">
        <f t="shared" si="8"/>
        <v>3600</v>
      </c>
      <c r="K160" s="7"/>
      <c r="L160" s="7" t="s">
        <v>43</v>
      </c>
      <c r="M160" s="7" t="s">
        <v>17</v>
      </c>
      <c r="N160" s="7"/>
    </row>
    <row r="161" s="6" customFormat="1" hidden="1" spans="1:14">
      <c r="A161" s="26" t="s">
        <v>109</v>
      </c>
      <c r="B161" s="27">
        <v>46103</v>
      </c>
      <c r="C161" s="26" t="s">
        <v>110</v>
      </c>
      <c r="D161" s="7" t="s">
        <v>34</v>
      </c>
      <c r="E161" s="26">
        <v>12</v>
      </c>
      <c r="F161" s="26">
        <v>10</v>
      </c>
      <c r="G161" s="28">
        <f t="shared" si="5"/>
        <v>120</v>
      </c>
      <c r="H161" s="28" t="s">
        <v>16</v>
      </c>
      <c r="I161" s="7">
        <v>10</v>
      </c>
      <c r="J161" s="18">
        <f t="shared" si="8"/>
        <v>1200</v>
      </c>
      <c r="K161" s="7"/>
      <c r="L161" s="7" t="s">
        <v>43</v>
      </c>
      <c r="M161" s="7" t="s">
        <v>17</v>
      </c>
      <c r="N161" s="7"/>
    </row>
    <row r="162" s="6" customFormat="1" hidden="1" spans="1:14">
      <c r="A162" s="26" t="s">
        <v>109</v>
      </c>
      <c r="B162" s="27">
        <v>46103</v>
      </c>
      <c r="C162" s="26" t="s">
        <v>110</v>
      </c>
      <c r="D162" s="16" t="s">
        <v>15</v>
      </c>
      <c r="E162" s="26">
        <v>12</v>
      </c>
      <c r="F162" s="26">
        <v>10</v>
      </c>
      <c r="G162" s="28">
        <f t="shared" si="5"/>
        <v>120</v>
      </c>
      <c r="H162" s="28" t="s">
        <v>16</v>
      </c>
      <c r="I162" s="7">
        <v>12</v>
      </c>
      <c r="J162" s="18">
        <f t="shared" si="8"/>
        <v>1440</v>
      </c>
      <c r="K162" s="7"/>
      <c r="L162" s="7" t="s">
        <v>43</v>
      </c>
      <c r="M162" s="7" t="s">
        <v>17</v>
      </c>
      <c r="N162" s="7"/>
    </row>
    <row r="163" s="6" customFormat="1" hidden="1" spans="1:14">
      <c r="A163" s="26" t="s">
        <v>109</v>
      </c>
      <c r="B163" s="27">
        <v>46103</v>
      </c>
      <c r="C163" s="26" t="s">
        <v>110</v>
      </c>
      <c r="D163" s="7" t="s">
        <v>33</v>
      </c>
      <c r="E163" s="26">
        <v>12</v>
      </c>
      <c r="F163" s="26">
        <v>10</v>
      </c>
      <c r="G163" s="28">
        <f t="shared" si="5"/>
        <v>120</v>
      </c>
      <c r="H163" s="28" t="s">
        <v>16</v>
      </c>
      <c r="I163" s="7">
        <v>15</v>
      </c>
      <c r="J163" s="18">
        <f t="shared" si="8"/>
        <v>1800</v>
      </c>
      <c r="K163" s="7"/>
      <c r="L163" s="7" t="s">
        <v>43</v>
      </c>
      <c r="M163" s="7" t="s">
        <v>17</v>
      </c>
      <c r="N163" s="7"/>
    </row>
    <row r="164" s="6" customFormat="1" hidden="1" spans="1:14">
      <c r="A164" s="29" t="s">
        <v>111</v>
      </c>
      <c r="B164" s="30">
        <v>46103</v>
      </c>
      <c r="C164" s="29" t="s">
        <v>112</v>
      </c>
      <c r="D164" s="7" t="s">
        <v>34</v>
      </c>
      <c r="E164" s="29">
        <v>12</v>
      </c>
      <c r="F164" s="29">
        <v>5</v>
      </c>
      <c r="G164" s="31">
        <f t="shared" si="5"/>
        <v>60</v>
      </c>
      <c r="H164" s="31" t="s">
        <v>16</v>
      </c>
      <c r="I164" s="7">
        <v>10</v>
      </c>
      <c r="J164" s="18">
        <f t="shared" si="8"/>
        <v>600</v>
      </c>
      <c r="K164" s="7"/>
      <c r="L164" s="7" t="s">
        <v>43</v>
      </c>
      <c r="M164" s="7" t="s">
        <v>17</v>
      </c>
      <c r="N164" s="7"/>
    </row>
    <row r="165" s="6" customFormat="1" hidden="1" spans="1:14">
      <c r="A165" s="29" t="s">
        <v>111</v>
      </c>
      <c r="B165" s="30">
        <v>46103</v>
      </c>
      <c r="C165" s="29" t="s">
        <v>112</v>
      </c>
      <c r="D165" s="16" t="s">
        <v>15</v>
      </c>
      <c r="E165" s="29">
        <v>12</v>
      </c>
      <c r="F165" s="29">
        <v>5</v>
      </c>
      <c r="G165" s="31">
        <f t="shared" si="5"/>
        <v>60</v>
      </c>
      <c r="H165" s="31" t="s">
        <v>16</v>
      </c>
      <c r="I165" s="7">
        <v>12</v>
      </c>
      <c r="J165" s="18">
        <f t="shared" si="8"/>
        <v>720</v>
      </c>
      <c r="K165" s="7"/>
      <c r="L165" s="7" t="s">
        <v>43</v>
      </c>
      <c r="M165" s="7" t="s">
        <v>17</v>
      </c>
      <c r="N165" s="7"/>
    </row>
    <row r="166" s="6" customFormat="1" hidden="1" spans="1:14">
      <c r="A166" s="29" t="s">
        <v>111</v>
      </c>
      <c r="B166" s="30">
        <v>46103</v>
      </c>
      <c r="C166" s="29" t="s">
        <v>112</v>
      </c>
      <c r="D166" s="7" t="s">
        <v>33</v>
      </c>
      <c r="E166" s="29">
        <v>12</v>
      </c>
      <c r="F166" s="29">
        <v>5</v>
      </c>
      <c r="G166" s="31">
        <f t="shared" si="5"/>
        <v>60</v>
      </c>
      <c r="H166" s="31" t="s">
        <v>16</v>
      </c>
      <c r="I166" s="7">
        <v>15</v>
      </c>
      <c r="J166" s="18">
        <f t="shared" si="8"/>
        <v>900</v>
      </c>
      <c r="K166" s="7"/>
      <c r="L166" s="7" t="s">
        <v>43</v>
      </c>
      <c r="M166" s="7" t="s">
        <v>17</v>
      </c>
      <c r="N166" s="7"/>
    </row>
    <row r="167" s="6" customFormat="1" hidden="1" spans="1:14">
      <c r="A167" s="16" t="s">
        <v>113</v>
      </c>
      <c r="B167" s="32">
        <v>46103</v>
      </c>
      <c r="C167" s="33" t="s">
        <v>114</v>
      </c>
      <c r="D167" s="7" t="s">
        <v>40</v>
      </c>
      <c r="E167" s="16">
        <v>12</v>
      </c>
      <c r="F167" s="16">
        <v>16</v>
      </c>
      <c r="G167" s="31">
        <f t="shared" si="5"/>
        <v>192</v>
      </c>
      <c r="H167" s="28" t="s">
        <v>16</v>
      </c>
      <c r="I167" s="7">
        <v>18</v>
      </c>
      <c r="J167" s="18">
        <f t="shared" si="8"/>
        <v>3456</v>
      </c>
      <c r="K167" s="7"/>
      <c r="L167" s="7" t="s">
        <v>43</v>
      </c>
      <c r="M167" s="7" t="s">
        <v>17</v>
      </c>
      <c r="N167" s="7"/>
    </row>
    <row r="168" s="6" customFormat="1" hidden="1" spans="1:14">
      <c r="A168" s="16" t="s">
        <v>113</v>
      </c>
      <c r="B168" s="32">
        <v>46103</v>
      </c>
      <c r="C168" s="33" t="s">
        <v>114</v>
      </c>
      <c r="D168" s="7" t="s">
        <v>40</v>
      </c>
      <c r="E168" s="16"/>
      <c r="F168" s="16"/>
      <c r="G168" s="31">
        <v>8</v>
      </c>
      <c r="H168" s="28" t="s">
        <v>16</v>
      </c>
      <c r="I168" s="7">
        <v>18</v>
      </c>
      <c r="J168" s="18">
        <f t="shared" si="8"/>
        <v>144</v>
      </c>
      <c r="K168" s="7"/>
      <c r="L168" s="7" t="s">
        <v>43</v>
      </c>
      <c r="M168" s="7" t="s">
        <v>17</v>
      </c>
      <c r="N168" s="7"/>
    </row>
    <row r="169" s="6" customFormat="1" hidden="1" spans="1:14">
      <c r="A169" s="16" t="s">
        <v>115</v>
      </c>
      <c r="B169" s="32">
        <v>46103</v>
      </c>
      <c r="C169" s="33" t="s">
        <v>116</v>
      </c>
      <c r="D169" s="16" t="s">
        <v>15</v>
      </c>
      <c r="E169" s="16">
        <v>12</v>
      </c>
      <c r="F169" s="16">
        <v>10</v>
      </c>
      <c r="G169" s="31">
        <f t="shared" ref="G169:G186" si="9">E169*F169</f>
        <v>120</v>
      </c>
      <c r="H169" s="28" t="s">
        <v>16</v>
      </c>
      <c r="I169" s="7">
        <v>12</v>
      </c>
      <c r="J169" s="18">
        <f t="shared" si="8"/>
        <v>1440</v>
      </c>
      <c r="K169" s="7"/>
      <c r="L169" s="7" t="s">
        <v>43</v>
      </c>
      <c r="M169" s="7" t="s">
        <v>17</v>
      </c>
      <c r="N169" s="7"/>
    </row>
    <row r="170" s="6" customFormat="1" spans="1:14">
      <c r="A170" s="29" t="s">
        <v>93</v>
      </c>
      <c r="B170" s="27">
        <v>46104</v>
      </c>
      <c r="C170" s="29" t="s">
        <v>94</v>
      </c>
      <c r="D170" s="17" t="s">
        <v>48</v>
      </c>
      <c r="E170" s="29">
        <v>12</v>
      </c>
      <c r="F170" s="29">
        <v>50</v>
      </c>
      <c r="G170" s="31">
        <f t="shared" si="9"/>
        <v>600</v>
      </c>
      <c r="H170" s="31" t="s">
        <v>16</v>
      </c>
      <c r="I170" s="7">
        <v>15.5</v>
      </c>
      <c r="J170" s="7">
        <f>G170*I170</f>
        <v>9300</v>
      </c>
      <c r="K170" s="7"/>
      <c r="L170" s="7" t="s">
        <v>43</v>
      </c>
      <c r="M170" s="7" t="s">
        <v>17</v>
      </c>
      <c r="N170" s="7"/>
    </row>
    <row r="171" s="6" customFormat="1" spans="1:14">
      <c r="A171" s="16" t="s">
        <v>96</v>
      </c>
      <c r="B171" s="27">
        <v>46104</v>
      </c>
      <c r="C171" s="33" t="s">
        <v>94</v>
      </c>
      <c r="D171" s="7" t="s">
        <v>33</v>
      </c>
      <c r="E171" s="16">
        <v>12</v>
      </c>
      <c r="F171" s="16">
        <v>100</v>
      </c>
      <c r="G171" s="31">
        <f t="shared" si="9"/>
        <v>1200</v>
      </c>
      <c r="H171" s="28" t="s">
        <v>16</v>
      </c>
      <c r="I171" s="7">
        <v>15.2</v>
      </c>
      <c r="J171" s="7">
        <f>G171*I171</f>
        <v>18240</v>
      </c>
      <c r="K171" s="7"/>
      <c r="L171" s="7" t="s">
        <v>43</v>
      </c>
      <c r="M171" s="7" t="s">
        <v>17</v>
      </c>
      <c r="N171" s="7"/>
    </row>
    <row r="172" s="6" customFormat="1" spans="1:14">
      <c r="A172" s="16" t="s">
        <v>117</v>
      </c>
      <c r="B172" s="32">
        <v>46105</v>
      </c>
      <c r="C172" s="33" t="s">
        <v>118</v>
      </c>
      <c r="D172" s="7" t="s">
        <v>33</v>
      </c>
      <c r="E172" s="16">
        <v>12</v>
      </c>
      <c r="F172" s="16">
        <v>30</v>
      </c>
      <c r="G172" s="31">
        <f t="shared" si="9"/>
        <v>360</v>
      </c>
      <c r="H172" s="28" t="s">
        <v>16</v>
      </c>
      <c r="I172" s="7">
        <v>16</v>
      </c>
      <c r="J172" s="7">
        <f>G172*I172</f>
        <v>5760</v>
      </c>
      <c r="K172" s="7"/>
      <c r="L172" s="7" t="s">
        <v>43</v>
      </c>
      <c r="M172" s="7" t="s">
        <v>17</v>
      </c>
      <c r="N172" s="7"/>
    </row>
    <row r="173" s="6" customFormat="1" spans="1:14">
      <c r="A173" s="16" t="s">
        <v>117</v>
      </c>
      <c r="B173" s="32">
        <v>46105</v>
      </c>
      <c r="C173" s="33" t="s">
        <v>118</v>
      </c>
      <c r="D173" s="7" t="s">
        <v>39</v>
      </c>
      <c r="E173" s="16">
        <v>12</v>
      </c>
      <c r="F173" s="16">
        <v>8</v>
      </c>
      <c r="G173" s="31">
        <f t="shared" si="9"/>
        <v>96</v>
      </c>
      <c r="H173" s="28" t="s">
        <v>16</v>
      </c>
      <c r="I173" s="7">
        <v>16</v>
      </c>
      <c r="J173" s="7">
        <f>G173*I173</f>
        <v>1536</v>
      </c>
      <c r="K173" s="7"/>
      <c r="L173" s="7" t="s">
        <v>43</v>
      </c>
      <c r="M173" s="7" t="s">
        <v>17</v>
      </c>
      <c r="N173" s="7"/>
    </row>
    <row r="174" s="6" customFormat="1" hidden="1" spans="1:14">
      <c r="A174" s="26" t="s">
        <v>119</v>
      </c>
      <c r="B174" s="27">
        <v>46106</v>
      </c>
      <c r="C174" s="26" t="s">
        <v>120</v>
      </c>
      <c r="D174" s="7" t="s">
        <v>50</v>
      </c>
      <c r="E174" s="26">
        <v>12</v>
      </c>
      <c r="F174" s="26">
        <v>10</v>
      </c>
      <c r="G174" s="28">
        <f t="shared" si="9"/>
        <v>120</v>
      </c>
      <c r="H174" s="28" t="s">
        <v>16</v>
      </c>
      <c r="I174" s="7">
        <v>17.5</v>
      </c>
      <c r="J174" s="18">
        <f>I174*G174</f>
        <v>2100</v>
      </c>
      <c r="K174" s="7"/>
      <c r="L174" s="7" t="s">
        <v>43</v>
      </c>
      <c r="M174" s="7" t="s">
        <v>17</v>
      </c>
      <c r="N174" s="7"/>
    </row>
    <row r="175" s="6" customFormat="1" hidden="1" spans="1:14">
      <c r="A175" s="16" t="s">
        <v>121</v>
      </c>
      <c r="B175" s="32">
        <v>46106</v>
      </c>
      <c r="C175" s="33" t="s">
        <v>122</v>
      </c>
      <c r="D175" s="16" t="s">
        <v>15</v>
      </c>
      <c r="E175" s="16">
        <v>12</v>
      </c>
      <c r="F175" s="16">
        <v>20</v>
      </c>
      <c r="G175" s="31">
        <f t="shared" si="9"/>
        <v>240</v>
      </c>
      <c r="H175" s="28" t="s">
        <v>16</v>
      </c>
      <c r="I175" s="7">
        <v>12</v>
      </c>
      <c r="J175" s="18">
        <f>I175*G175</f>
        <v>2880</v>
      </c>
      <c r="K175" s="7"/>
      <c r="L175" s="7" t="s">
        <v>43</v>
      </c>
      <c r="M175" s="7" t="s">
        <v>17</v>
      </c>
      <c r="N175" s="7"/>
    </row>
    <row r="176" s="6" customFormat="1" spans="1:14">
      <c r="A176" s="43" t="s">
        <v>123</v>
      </c>
      <c r="B176" s="32">
        <v>46106</v>
      </c>
      <c r="C176" s="44" t="s">
        <v>124</v>
      </c>
      <c r="D176" s="7" t="s">
        <v>34</v>
      </c>
      <c r="E176" s="16">
        <v>12</v>
      </c>
      <c r="F176" s="16">
        <v>12</v>
      </c>
      <c r="G176" s="31">
        <f t="shared" si="9"/>
        <v>144</v>
      </c>
      <c r="H176" s="28" t="s">
        <v>16</v>
      </c>
      <c r="I176" s="7">
        <v>11.3</v>
      </c>
      <c r="J176" s="7">
        <f>G176*I176</f>
        <v>1627.2</v>
      </c>
      <c r="K176" s="7"/>
      <c r="L176" s="7" t="s">
        <v>43</v>
      </c>
      <c r="M176" s="7" t="s">
        <v>17</v>
      </c>
      <c r="N176" s="7"/>
    </row>
    <row r="177" s="6" customFormat="1" hidden="1" spans="1:14">
      <c r="A177" s="16" t="s">
        <v>125</v>
      </c>
      <c r="B177" s="32">
        <v>46106</v>
      </c>
      <c r="C177" s="33" t="s">
        <v>75</v>
      </c>
      <c r="D177" s="7" t="s">
        <v>34</v>
      </c>
      <c r="E177" s="16">
        <v>12</v>
      </c>
      <c r="F177" s="16">
        <v>20</v>
      </c>
      <c r="G177" s="31">
        <f t="shared" si="9"/>
        <v>240</v>
      </c>
      <c r="H177" s="28" t="s">
        <v>16</v>
      </c>
      <c r="I177" s="7">
        <v>10</v>
      </c>
      <c r="J177" s="18">
        <f>I177*G177</f>
        <v>2400</v>
      </c>
      <c r="K177" s="7"/>
      <c r="L177" s="7" t="s">
        <v>43</v>
      </c>
      <c r="M177" s="7" t="s">
        <v>17</v>
      </c>
      <c r="N177" s="7"/>
    </row>
    <row r="178" s="6" customFormat="1" hidden="1" spans="1:14">
      <c r="A178" s="16" t="s">
        <v>125</v>
      </c>
      <c r="B178" s="32">
        <v>46106</v>
      </c>
      <c r="C178" s="33" t="s">
        <v>75</v>
      </c>
      <c r="D178" s="16" t="s">
        <v>15</v>
      </c>
      <c r="E178" s="16">
        <v>12</v>
      </c>
      <c r="F178" s="16">
        <v>20</v>
      </c>
      <c r="G178" s="31">
        <f t="shared" si="9"/>
        <v>240</v>
      </c>
      <c r="H178" s="28" t="s">
        <v>16</v>
      </c>
      <c r="I178" s="7">
        <v>12</v>
      </c>
      <c r="J178" s="18">
        <f>I178*G178</f>
        <v>2880</v>
      </c>
      <c r="K178" s="7"/>
      <c r="L178" s="7" t="s">
        <v>43</v>
      </c>
      <c r="M178" s="7" t="s">
        <v>17</v>
      </c>
      <c r="N178" s="7"/>
    </row>
    <row r="179" s="6" customFormat="1" hidden="1" spans="1:14">
      <c r="A179" s="16" t="s">
        <v>126</v>
      </c>
      <c r="B179" s="32">
        <v>46109</v>
      </c>
      <c r="C179" s="33" t="s">
        <v>75</v>
      </c>
      <c r="D179" s="7" t="s">
        <v>34</v>
      </c>
      <c r="E179" s="16">
        <v>12</v>
      </c>
      <c r="F179" s="16">
        <v>2</v>
      </c>
      <c r="G179" s="31">
        <f t="shared" si="9"/>
        <v>24</v>
      </c>
      <c r="H179" s="28" t="s">
        <v>16</v>
      </c>
      <c r="I179" s="7">
        <v>10</v>
      </c>
      <c r="J179" s="18">
        <f>I179*G179</f>
        <v>240</v>
      </c>
      <c r="K179" s="7"/>
      <c r="L179" s="7" t="s">
        <v>43</v>
      </c>
      <c r="M179" s="7" t="s">
        <v>17</v>
      </c>
      <c r="N179" s="7"/>
    </row>
    <row r="180" s="6" customFormat="1" hidden="1" spans="1:14">
      <c r="A180" s="16" t="s">
        <v>126</v>
      </c>
      <c r="B180" s="32">
        <v>46109</v>
      </c>
      <c r="C180" s="33" t="s">
        <v>75</v>
      </c>
      <c r="D180" s="16" t="s">
        <v>15</v>
      </c>
      <c r="E180" s="16">
        <v>12</v>
      </c>
      <c r="F180" s="16">
        <v>2</v>
      </c>
      <c r="G180" s="31">
        <f t="shared" si="9"/>
        <v>24</v>
      </c>
      <c r="H180" s="28" t="s">
        <v>16</v>
      </c>
      <c r="I180" s="7">
        <v>12</v>
      </c>
      <c r="J180" s="18">
        <f>I180*G180</f>
        <v>288</v>
      </c>
      <c r="K180" s="7"/>
      <c r="L180" s="7" t="s">
        <v>43</v>
      </c>
      <c r="M180" s="7" t="s">
        <v>17</v>
      </c>
      <c r="N180" s="7"/>
    </row>
    <row r="181" s="6" customFormat="1" hidden="1" spans="1:14">
      <c r="A181" s="16" t="s">
        <v>127</v>
      </c>
      <c r="B181" s="32">
        <v>46112</v>
      </c>
      <c r="C181" s="33" t="s">
        <v>75</v>
      </c>
      <c r="D181" s="16" t="s">
        <v>35</v>
      </c>
      <c r="E181" s="16">
        <v>12</v>
      </c>
      <c r="F181" s="16">
        <v>10</v>
      </c>
      <c r="G181" s="31">
        <f t="shared" si="9"/>
        <v>120</v>
      </c>
      <c r="H181" s="28" t="s">
        <v>16</v>
      </c>
      <c r="I181" s="7">
        <v>17.5</v>
      </c>
      <c r="J181" s="18">
        <f>I181*G181</f>
        <v>2100</v>
      </c>
      <c r="K181" s="7"/>
      <c r="L181" s="7" t="s">
        <v>43</v>
      </c>
      <c r="M181" s="7" t="s">
        <v>17</v>
      </c>
      <c r="N181" s="7"/>
    </row>
    <row r="182" s="6" customFormat="1" spans="1:14">
      <c r="A182" s="16" t="s">
        <v>97</v>
      </c>
      <c r="B182" s="32">
        <v>46101</v>
      </c>
      <c r="C182" s="33" t="s">
        <v>52</v>
      </c>
      <c r="D182" s="7" t="s">
        <v>33</v>
      </c>
      <c r="E182" s="16">
        <v>12</v>
      </c>
      <c r="F182" s="16">
        <v>20</v>
      </c>
      <c r="G182" s="31">
        <f t="shared" si="9"/>
        <v>240</v>
      </c>
      <c r="H182" s="28" t="s">
        <v>16</v>
      </c>
      <c r="I182" s="7">
        <v>16</v>
      </c>
      <c r="J182" s="7">
        <f t="shared" ref="J182:J245" si="10">G182*I182</f>
        <v>3840</v>
      </c>
      <c r="K182" s="7"/>
      <c r="L182" s="7" t="s">
        <v>43</v>
      </c>
      <c r="M182" s="7" t="s">
        <v>17</v>
      </c>
      <c r="N182" s="7" t="s">
        <v>56</v>
      </c>
    </row>
    <row r="183" s="6" customFormat="1" spans="1:14">
      <c r="A183" s="16" t="s">
        <v>97</v>
      </c>
      <c r="B183" s="32">
        <v>46101</v>
      </c>
      <c r="C183" s="33" t="s">
        <v>52</v>
      </c>
      <c r="D183" s="16" t="s">
        <v>15</v>
      </c>
      <c r="E183" s="16">
        <v>12</v>
      </c>
      <c r="F183" s="16">
        <v>10</v>
      </c>
      <c r="G183" s="31">
        <f t="shared" si="9"/>
        <v>120</v>
      </c>
      <c r="H183" s="28" t="s">
        <v>16</v>
      </c>
      <c r="I183" s="7">
        <v>12.5</v>
      </c>
      <c r="J183" s="7">
        <f t="shared" si="10"/>
        <v>1500</v>
      </c>
      <c r="K183" s="7"/>
      <c r="L183" s="7" t="s">
        <v>43</v>
      </c>
      <c r="M183" s="7" t="s">
        <v>17</v>
      </c>
      <c r="N183" s="7" t="s">
        <v>56</v>
      </c>
    </row>
    <row r="184" s="6" customFormat="1" spans="1:14">
      <c r="A184" s="16" t="s">
        <v>97</v>
      </c>
      <c r="B184" s="32">
        <v>46101</v>
      </c>
      <c r="C184" s="33" t="s">
        <v>52</v>
      </c>
      <c r="D184" s="7" t="s">
        <v>34</v>
      </c>
      <c r="E184" s="16">
        <v>12</v>
      </c>
      <c r="F184" s="16">
        <v>10</v>
      </c>
      <c r="G184" s="31">
        <f t="shared" si="9"/>
        <v>120</v>
      </c>
      <c r="H184" s="28" t="s">
        <v>16</v>
      </c>
      <c r="I184" s="7">
        <v>10.8</v>
      </c>
      <c r="J184" s="7">
        <f t="shared" si="10"/>
        <v>1296</v>
      </c>
      <c r="K184" s="7"/>
      <c r="L184" s="7" t="s">
        <v>43</v>
      </c>
      <c r="M184" s="7" t="s">
        <v>17</v>
      </c>
      <c r="N184" s="7" t="s">
        <v>56</v>
      </c>
    </row>
    <row r="185" s="6" customFormat="1" spans="1:14">
      <c r="A185" s="16" t="s">
        <v>97</v>
      </c>
      <c r="B185" s="32">
        <v>46101</v>
      </c>
      <c r="C185" s="33" t="s">
        <v>52</v>
      </c>
      <c r="D185" s="16" t="s">
        <v>15</v>
      </c>
      <c r="E185" s="16">
        <v>12</v>
      </c>
      <c r="F185" s="16">
        <v>12</v>
      </c>
      <c r="G185" s="31">
        <f t="shared" si="9"/>
        <v>144</v>
      </c>
      <c r="H185" s="28" t="s">
        <v>16</v>
      </c>
      <c r="I185" s="7">
        <v>12.5</v>
      </c>
      <c r="J185" s="7">
        <f t="shared" si="10"/>
        <v>1800</v>
      </c>
      <c r="K185" s="7"/>
      <c r="L185" s="7" t="s">
        <v>43</v>
      </c>
      <c r="M185" s="7" t="s">
        <v>17</v>
      </c>
      <c r="N185" s="7" t="s">
        <v>56</v>
      </c>
    </row>
    <row r="186" s="6" customFormat="1" spans="1:14">
      <c r="A186" s="16" t="s">
        <v>97</v>
      </c>
      <c r="B186" s="32">
        <v>46101</v>
      </c>
      <c r="C186" s="33" t="s">
        <v>52</v>
      </c>
      <c r="D186" s="7" t="s">
        <v>33</v>
      </c>
      <c r="E186" s="16">
        <v>12</v>
      </c>
      <c r="F186" s="16">
        <v>10</v>
      </c>
      <c r="G186" s="31">
        <f t="shared" si="9"/>
        <v>120</v>
      </c>
      <c r="H186" s="28" t="s">
        <v>16</v>
      </c>
      <c r="I186" s="7">
        <v>16</v>
      </c>
      <c r="J186" s="7">
        <f t="shared" si="10"/>
        <v>1920</v>
      </c>
      <c r="K186" s="7"/>
      <c r="L186" s="7" t="s">
        <v>43</v>
      </c>
      <c r="M186" s="7" t="s">
        <v>17</v>
      </c>
      <c r="N186" s="7" t="s">
        <v>56</v>
      </c>
    </row>
    <row r="187" s="7" customFormat="1" ht="22.5" customHeight="1" spans="1:14">
      <c r="A187" s="45" t="s">
        <v>96</v>
      </c>
      <c r="B187" s="36">
        <v>46114</v>
      </c>
      <c r="C187" s="46" t="s">
        <v>128</v>
      </c>
      <c r="D187" s="7" t="s">
        <v>39</v>
      </c>
      <c r="E187" s="16">
        <v>12</v>
      </c>
      <c r="F187" s="16">
        <v>12</v>
      </c>
      <c r="G187" s="31">
        <f t="shared" ref="G187:G223" si="11">F187*E187</f>
        <v>144</v>
      </c>
      <c r="H187" s="28" t="s">
        <v>16</v>
      </c>
      <c r="I187" s="7">
        <v>15</v>
      </c>
      <c r="J187" s="7">
        <f t="shared" si="10"/>
        <v>2160</v>
      </c>
      <c r="L187" s="7" t="s">
        <v>43</v>
      </c>
      <c r="M187" s="7" t="s">
        <v>17</v>
      </c>
    </row>
    <row r="188" s="7" customFormat="1" ht="72" customHeight="1" spans="1:14">
      <c r="A188" s="45" t="s">
        <v>96</v>
      </c>
      <c r="B188" s="36">
        <v>46114</v>
      </c>
      <c r="C188" s="46" t="s">
        <v>128</v>
      </c>
      <c r="D188" s="16" t="s">
        <v>15</v>
      </c>
      <c r="E188" s="16">
        <v>12</v>
      </c>
      <c r="F188" s="16">
        <v>12</v>
      </c>
      <c r="G188" s="31">
        <f t="shared" si="11"/>
        <v>144</v>
      </c>
      <c r="H188" s="28" t="s">
        <v>16</v>
      </c>
      <c r="I188" s="7">
        <v>12</v>
      </c>
      <c r="J188" s="7">
        <f t="shared" si="10"/>
        <v>1728</v>
      </c>
      <c r="L188" s="7" t="s">
        <v>43</v>
      </c>
      <c r="M188" s="7" t="s">
        <v>17</v>
      </c>
    </row>
    <row r="189" s="7" customFormat="1" ht="72" customHeight="1" spans="1:14">
      <c r="A189" s="45" t="s">
        <v>96</v>
      </c>
      <c r="B189" s="36">
        <v>46114</v>
      </c>
      <c r="C189" s="46" t="s">
        <v>128</v>
      </c>
      <c r="D189" s="7" t="s">
        <v>44</v>
      </c>
      <c r="E189" s="16">
        <v>12</v>
      </c>
      <c r="F189" s="16">
        <v>6</v>
      </c>
      <c r="G189" s="31">
        <f t="shared" si="11"/>
        <v>72</v>
      </c>
      <c r="H189" s="28" t="s">
        <v>16</v>
      </c>
      <c r="I189" s="7">
        <v>12</v>
      </c>
      <c r="J189" s="7">
        <f t="shared" si="10"/>
        <v>864</v>
      </c>
      <c r="L189" s="7" t="s">
        <v>43</v>
      </c>
      <c r="M189" s="7" t="s">
        <v>17</v>
      </c>
    </row>
    <row r="190" s="7" customFormat="1" ht="72" customHeight="1" spans="1:14">
      <c r="A190" s="45" t="s">
        <v>96</v>
      </c>
      <c r="B190" s="36">
        <v>46114</v>
      </c>
      <c r="C190" s="46" t="s">
        <v>128</v>
      </c>
      <c r="D190" s="7" t="s">
        <v>34</v>
      </c>
      <c r="E190" s="16">
        <v>12</v>
      </c>
      <c r="F190" s="16">
        <v>5</v>
      </c>
      <c r="G190" s="31">
        <f t="shared" si="11"/>
        <v>60</v>
      </c>
      <c r="H190" s="28" t="s">
        <v>16</v>
      </c>
      <c r="I190" s="7">
        <v>10</v>
      </c>
      <c r="J190" s="7">
        <f t="shared" si="10"/>
        <v>600</v>
      </c>
      <c r="L190" s="7" t="s">
        <v>43</v>
      </c>
      <c r="M190" s="7" t="s">
        <v>17</v>
      </c>
    </row>
    <row r="191" s="7" customFormat="1" spans="1:14">
      <c r="A191" s="45" t="s">
        <v>96</v>
      </c>
      <c r="B191" s="36">
        <v>46114</v>
      </c>
      <c r="C191" s="46" t="s">
        <v>128</v>
      </c>
      <c r="D191" s="16" t="s">
        <v>15</v>
      </c>
      <c r="E191" s="16">
        <v>12</v>
      </c>
      <c r="F191" s="16">
        <v>4</v>
      </c>
      <c r="G191" s="31">
        <f t="shared" si="11"/>
        <v>48</v>
      </c>
      <c r="H191" s="28" t="s">
        <v>16</v>
      </c>
      <c r="I191" s="7">
        <v>12</v>
      </c>
      <c r="J191" s="7">
        <f t="shared" si="10"/>
        <v>576</v>
      </c>
      <c r="L191" s="7" t="s">
        <v>43</v>
      </c>
      <c r="M191" s="7" t="s">
        <v>17</v>
      </c>
    </row>
    <row r="192" s="7" customFormat="1" spans="1:14">
      <c r="A192" s="45" t="s">
        <v>129</v>
      </c>
      <c r="B192" s="36">
        <v>46114</v>
      </c>
      <c r="C192" s="46" t="s">
        <v>130</v>
      </c>
      <c r="D192" s="7" t="s">
        <v>34</v>
      </c>
      <c r="E192" s="16">
        <v>12</v>
      </c>
      <c r="F192" s="16">
        <v>5</v>
      </c>
      <c r="G192" s="31">
        <f t="shared" si="11"/>
        <v>60</v>
      </c>
      <c r="H192" s="28" t="s">
        <v>16</v>
      </c>
      <c r="I192" s="7">
        <v>10</v>
      </c>
      <c r="J192" s="7">
        <f t="shared" si="10"/>
        <v>600</v>
      </c>
      <c r="L192" s="7" t="s">
        <v>43</v>
      </c>
      <c r="M192" s="7" t="s">
        <v>17</v>
      </c>
    </row>
    <row r="193" s="7" customFormat="1" ht="22.5" customHeight="1" spans="1:14">
      <c r="A193" s="45" t="s">
        <v>129</v>
      </c>
      <c r="B193" s="36">
        <v>46114</v>
      </c>
      <c r="C193" s="46" t="s">
        <v>130</v>
      </c>
      <c r="D193" s="16" t="s">
        <v>15</v>
      </c>
      <c r="E193" s="16">
        <v>12</v>
      </c>
      <c r="F193" s="16">
        <v>20</v>
      </c>
      <c r="G193" s="31">
        <f t="shared" si="11"/>
        <v>240</v>
      </c>
      <c r="H193" s="28" t="s">
        <v>16</v>
      </c>
      <c r="I193" s="7">
        <v>12</v>
      </c>
      <c r="J193" s="7">
        <f t="shared" si="10"/>
        <v>2880</v>
      </c>
      <c r="L193" s="7" t="s">
        <v>43</v>
      </c>
      <c r="M193" s="7" t="s">
        <v>17</v>
      </c>
    </row>
    <row r="194" s="7" customFormat="1" ht="22.5" customHeight="1" spans="1:14">
      <c r="A194" s="45" t="s">
        <v>129</v>
      </c>
      <c r="B194" s="36">
        <v>46114</v>
      </c>
      <c r="C194" s="46" t="s">
        <v>130</v>
      </c>
      <c r="D194" s="7" t="s">
        <v>44</v>
      </c>
      <c r="E194" s="16">
        <v>12</v>
      </c>
      <c r="F194" s="16">
        <v>5</v>
      </c>
      <c r="G194" s="31">
        <f t="shared" si="11"/>
        <v>60</v>
      </c>
      <c r="H194" s="28" t="s">
        <v>16</v>
      </c>
      <c r="I194" s="7">
        <v>12.8</v>
      </c>
      <c r="J194" s="7">
        <f t="shared" si="10"/>
        <v>768</v>
      </c>
      <c r="L194" s="7" t="s">
        <v>43</v>
      </c>
      <c r="M194" s="7" t="s">
        <v>17</v>
      </c>
    </row>
    <row r="195" s="7" customFormat="1" ht="22.5" customHeight="1" spans="1:14">
      <c r="A195" s="45" t="s">
        <v>131</v>
      </c>
      <c r="B195" s="36">
        <v>46114</v>
      </c>
      <c r="C195" s="46" t="s">
        <v>75</v>
      </c>
      <c r="D195" s="7" t="s">
        <v>34</v>
      </c>
      <c r="E195" s="16">
        <v>12</v>
      </c>
      <c r="F195" s="16">
        <v>100</v>
      </c>
      <c r="G195" s="31">
        <f t="shared" si="11"/>
        <v>1200</v>
      </c>
      <c r="H195" s="28" t="s">
        <v>16</v>
      </c>
      <c r="I195" s="7">
        <v>10</v>
      </c>
      <c r="J195" s="7">
        <f t="shared" si="10"/>
        <v>12000</v>
      </c>
      <c r="L195" s="7" t="s">
        <v>43</v>
      </c>
      <c r="M195" s="7" t="s">
        <v>17</v>
      </c>
    </row>
    <row r="196" s="7" customFormat="1" ht="22.5" customHeight="1" spans="1:14">
      <c r="A196" s="45" t="s">
        <v>131</v>
      </c>
      <c r="B196" s="36">
        <v>46114</v>
      </c>
      <c r="C196" s="46" t="s">
        <v>75</v>
      </c>
      <c r="D196" s="16" t="s">
        <v>15</v>
      </c>
      <c r="E196" s="16">
        <v>12</v>
      </c>
      <c r="F196" s="16">
        <v>70</v>
      </c>
      <c r="G196" s="31">
        <f t="shared" si="11"/>
        <v>840</v>
      </c>
      <c r="H196" s="28" t="s">
        <v>16</v>
      </c>
      <c r="I196" s="7">
        <v>12</v>
      </c>
      <c r="J196" s="7">
        <f t="shared" si="10"/>
        <v>10080</v>
      </c>
      <c r="L196" s="7" t="s">
        <v>43</v>
      </c>
      <c r="M196" s="7" t="s">
        <v>17</v>
      </c>
    </row>
    <row r="197" s="7" customFormat="1" ht="120" customHeight="1" spans="1:14">
      <c r="A197" s="45" t="s">
        <v>131</v>
      </c>
      <c r="B197" s="36">
        <v>46114</v>
      </c>
      <c r="C197" s="46" t="s">
        <v>75</v>
      </c>
      <c r="D197" s="7" t="s">
        <v>33</v>
      </c>
      <c r="E197" s="16">
        <v>12</v>
      </c>
      <c r="F197" s="16">
        <v>50</v>
      </c>
      <c r="G197" s="31">
        <f t="shared" si="11"/>
        <v>600</v>
      </c>
      <c r="H197" s="28" t="s">
        <v>16</v>
      </c>
      <c r="I197" s="7">
        <v>15</v>
      </c>
      <c r="J197" s="7">
        <f t="shared" si="10"/>
        <v>9000</v>
      </c>
      <c r="L197" s="7" t="s">
        <v>43</v>
      </c>
      <c r="M197" s="7" t="s">
        <v>17</v>
      </c>
    </row>
    <row r="198" s="7" customFormat="1" ht="120" customHeight="1" spans="1:14">
      <c r="A198" s="38" t="s">
        <v>132</v>
      </c>
      <c r="B198" s="36">
        <v>46114</v>
      </c>
      <c r="C198" s="33" t="s">
        <v>133</v>
      </c>
      <c r="D198" s="7" t="s">
        <v>50</v>
      </c>
      <c r="E198" s="16">
        <v>12</v>
      </c>
      <c r="F198" s="16">
        <v>5</v>
      </c>
      <c r="G198" s="31">
        <f t="shared" si="11"/>
        <v>60</v>
      </c>
      <c r="H198" s="28" t="s">
        <v>16</v>
      </c>
      <c r="I198" s="7">
        <v>17.5</v>
      </c>
      <c r="J198" s="7">
        <f t="shared" si="10"/>
        <v>1050</v>
      </c>
      <c r="L198" s="7" t="s">
        <v>43</v>
      </c>
      <c r="M198" s="7" t="s">
        <v>17</v>
      </c>
    </row>
    <row r="199" s="7" customFormat="1" ht="120" customHeight="1" spans="1:14">
      <c r="A199" s="45" t="s">
        <v>134</v>
      </c>
      <c r="B199" s="36">
        <v>46116</v>
      </c>
      <c r="C199" s="46" t="s">
        <v>135</v>
      </c>
      <c r="D199" s="16" t="s">
        <v>15</v>
      </c>
      <c r="E199" s="16">
        <v>12</v>
      </c>
      <c r="F199" s="16">
        <v>5</v>
      </c>
      <c r="G199" s="31">
        <f t="shared" si="11"/>
        <v>60</v>
      </c>
      <c r="H199" s="28" t="s">
        <v>16</v>
      </c>
      <c r="I199" s="7">
        <v>13</v>
      </c>
      <c r="J199" s="7">
        <f t="shared" si="10"/>
        <v>780</v>
      </c>
      <c r="L199" s="7" t="s">
        <v>43</v>
      </c>
      <c r="M199" s="7" t="s">
        <v>17</v>
      </c>
      <c r="N199" s="7" t="s">
        <v>136</v>
      </c>
    </row>
    <row r="200" s="7" customFormat="1" ht="120" customHeight="1" spans="1:14">
      <c r="A200" s="45" t="s">
        <v>134</v>
      </c>
      <c r="B200" s="36">
        <v>46116</v>
      </c>
      <c r="C200" s="46" t="s">
        <v>135</v>
      </c>
      <c r="D200" s="7" t="s">
        <v>40</v>
      </c>
      <c r="E200" s="16">
        <v>12</v>
      </c>
      <c r="F200" s="16">
        <v>20</v>
      </c>
      <c r="G200" s="31">
        <f t="shared" si="11"/>
        <v>240</v>
      </c>
      <c r="H200" s="28" t="s">
        <v>16</v>
      </c>
      <c r="I200" s="7">
        <v>20.5</v>
      </c>
      <c r="J200" s="7">
        <f t="shared" si="10"/>
        <v>4920</v>
      </c>
      <c r="L200" s="7" t="s">
        <v>43</v>
      </c>
      <c r="M200" s="7" t="s">
        <v>17</v>
      </c>
      <c r="N200" s="7" t="s">
        <v>136</v>
      </c>
    </row>
    <row r="201" s="7" customFormat="1" ht="78" customHeight="1" spans="1:14">
      <c r="A201" s="45" t="s">
        <v>134</v>
      </c>
      <c r="B201" s="36">
        <v>46116</v>
      </c>
      <c r="C201" s="46" t="s">
        <v>135</v>
      </c>
      <c r="D201" s="17" t="s">
        <v>48</v>
      </c>
      <c r="E201" s="16">
        <v>12</v>
      </c>
      <c r="F201" s="16">
        <v>15</v>
      </c>
      <c r="G201" s="31">
        <f t="shared" si="11"/>
        <v>180</v>
      </c>
      <c r="H201" s="28" t="s">
        <v>16</v>
      </c>
      <c r="I201" s="7">
        <v>16.5</v>
      </c>
      <c r="J201" s="7">
        <f t="shared" si="10"/>
        <v>2970</v>
      </c>
      <c r="L201" s="7" t="s">
        <v>43</v>
      </c>
      <c r="M201" s="7" t="s">
        <v>17</v>
      </c>
      <c r="N201" s="7" t="s">
        <v>136</v>
      </c>
    </row>
    <row r="202" s="7" customFormat="1" ht="99" customHeight="1" spans="1:14">
      <c r="A202" s="45" t="s">
        <v>137</v>
      </c>
      <c r="B202" s="36">
        <v>46119</v>
      </c>
      <c r="C202" s="47" t="s">
        <v>138</v>
      </c>
      <c r="D202" s="16" t="s">
        <v>15</v>
      </c>
      <c r="E202" s="38">
        <v>12</v>
      </c>
      <c r="F202" s="7">
        <v>37</v>
      </c>
      <c r="G202" s="31">
        <f t="shared" si="11"/>
        <v>444</v>
      </c>
      <c r="H202" s="42" t="s">
        <v>16</v>
      </c>
      <c r="I202" s="7">
        <v>12</v>
      </c>
      <c r="J202" s="7">
        <f t="shared" si="10"/>
        <v>5328</v>
      </c>
      <c r="L202" s="7" t="s">
        <v>43</v>
      </c>
      <c r="M202" s="7" t="s">
        <v>17</v>
      </c>
    </row>
    <row r="203" s="7" customFormat="1" spans="1:14">
      <c r="A203" s="45" t="s">
        <v>137</v>
      </c>
      <c r="B203" s="36">
        <v>46119</v>
      </c>
      <c r="C203" s="47" t="s">
        <v>138</v>
      </c>
      <c r="D203" s="7" t="s">
        <v>33</v>
      </c>
      <c r="E203" s="38">
        <v>12</v>
      </c>
      <c r="F203" s="7">
        <v>20</v>
      </c>
      <c r="G203" s="31">
        <f t="shared" si="11"/>
        <v>240</v>
      </c>
      <c r="H203" s="42" t="s">
        <v>16</v>
      </c>
      <c r="I203" s="7">
        <v>15</v>
      </c>
      <c r="J203" s="7">
        <f t="shared" si="10"/>
        <v>3600</v>
      </c>
      <c r="L203" s="7" t="s">
        <v>43</v>
      </c>
      <c r="M203" s="7" t="s">
        <v>17</v>
      </c>
    </row>
    <row r="204" s="7" customFormat="1" spans="1:14">
      <c r="A204" s="48" t="s">
        <v>139</v>
      </c>
      <c r="B204" s="36">
        <v>46119</v>
      </c>
      <c r="C204" s="44" t="s">
        <v>140</v>
      </c>
      <c r="D204" s="16" t="s">
        <v>35</v>
      </c>
      <c r="E204" s="16">
        <v>12</v>
      </c>
      <c r="F204" s="16">
        <v>25</v>
      </c>
      <c r="G204" s="31">
        <f t="shared" si="11"/>
        <v>300</v>
      </c>
      <c r="H204" s="28" t="s">
        <v>16</v>
      </c>
      <c r="I204" s="7">
        <v>17.5</v>
      </c>
      <c r="J204" s="7">
        <f t="shared" si="10"/>
        <v>5250</v>
      </c>
      <c r="L204" s="7" t="s">
        <v>43</v>
      </c>
      <c r="M204" s="7" t="s">
        <v>17</v>
      </c>
    </row>
    <row r="205" s="7" customFormat="1" spans="1:14">
      <c r="A205" s="45" t="s">
        <v>141</v>
      </c>
      <c r="B205" s="36">
        <v>46119</v>
      </c>
      <c r="C205" s="46" t="s">
        <v>142</v>
      </c>
      <c r="D205" s="7" t="s">
        <v>33</v>
      </c>
      <c r="E205" s="16">
        <v>12</v>
      </c>
      <c r="F205" s="16">
        <v>15</v>
      </c>
      <c r="G205" s="31">
        <f t="shared" si="11"/>
        <v>180</v>
      </c>
      <c r="H205" s="28" t="s">
        <v>16</v>
      </c>
      <c r="I205" s="7">
        <v>15</v>
      </c>
      <c r="J205" s="7">
        <f t="shared" si="10"/>
        <v>2700</v>
      </c>
      <c r="L205" s="7" t="s">
        <v>43</v>
      </c>
      <c r="M205" s="7" t="s">
        <v>17</v>
      </c>
    </row>
    <row r="206" s="7" customFormat="1" spans="1:14">
      <c r="A206" s="45" t="s">
        <v>141</v>
      </c>
      <c r="B206" s="36">
        <v>46119</v>
      </c>
      <c r="C206" s="46" t="s">
        <v>142</v>
      </c>
      <c r="D206" s="16" t="s">
        <v>15</v>
      </c>
      <c r="E206" s="16">
        <v>12</v>
      </c>
      <c r="F206" s="16">
        <v>10</v>
      </c>
      <c r="G206" s="31">
        <f t="shared" si="11"/>
        <v>120</v>
      </c>
      <c r="H206" s="28" t="s">
        <v>16</v>
      </c>
      <c r="I206" s="7">
        <v>12</v>
      </c>
      <c r="J206" s="7">
        <f t="shared" si="10"/>
        <v>1440</v>
      </c>
      <c r="L206" s="7" t="s">
        <v>43</v>
      </c>
      <c r="M206" s="7" t="s">
        <v>17</v>
      </c>
    </row>
    <row r="207" s="7" customFormat="1" spans="1:14">
      <c r="A207" s="38" t="s">
        <v>143</v>
      </c>
      <c r="B207" s="36">
        <v>46119</v>
      </c>
      <c r="C207" s="22" t="s">
        <v>144</v>
      </c>
      <c r="D207" s="7" t="s">
        <v>50</v>
      </c>
      <c r="E207" s="7">
        <v>12</v>
      </c>
      <c r="F207" s="7">
        <v>8</v>
      </c>
      <c r="G207" s="31">
        <f t="shared" si="11"/>
        <v>96</v>
      </c>
      <c r="H207" s="42" t="s">
        <v>16</v>
      </c>
      <c r="I207" s="7">
        <v>17.5</v>
      </c>
      <c r="J207" s="7">
        <f t="shared" si="10"/>
        <v>1680</v>
      </c>
      <c r="L207" s="7" t="s">
        <v>43</v>
      </c>
      <c r="M207" s="7" t="s">
        <v>17</v>
      </c>
    </row>
    <row r="208" s="7" customFormat="1" spans="1:14">
      <c r="A208" s="49" t="s">
        <v>145</v>
      </c>
      <c r="B208" s="50">
        <v>46120</v>
      </c>
      <c r="C208" s="51" t="s">
        <v>146</v>
      </c>
      <c r="D208" s="16" t="s">
        <v>15</v>
      </c>
      <c r="E208" s="29">
        <v>12</v>
      </c>
      <c r="F208" s="29">
        <v>100</v>
      </c>
      <c r="G208" s="31">
        <f t="shared" si="11"/>
        <v>1200</v>
      </c>
      <c r="H208" s="31" t="s">
        <v>16</v>
      </c>
      <c r="I208" s="7">
        <v>12</v>
      </c>
      <c r="J208" s="7">
        <f t="shared" si="10"/>
        <v>14400</v>
      </c>
      <c r="L208" s="7" t="s">
        <v>43</v>
      </c>
      <c r="M208" s="7" t="s">
        <v>17</v>
      </c>
    </row>
    <row r="209" s="7" customFormat="1" spans="1:14">
      <c r="A209" s="49" t="s">
        <v>145</v>
      </c>
      <c r="B209" s="50">
        <v>46120</v>
      </c>
      <c r="C209" s="51" t="s">
        <v>146</v>
      </c>
      <c r="D209" s="7" t="s">
        <v>33</v>
      </c>
      <c r="E209" s="29">
        <v>12</v>
      </c>
      <c r="F209" s="29">
        <v>100</v>
      </c>
      <c r="G209" s="31">
        <f t="shared" si="11"/>
        <v>1200</v>
      </c>
      <c r="H209" s="31" t="s">
        <v>16</v>
      </c>
      <c r="I209" s="7">
        <v>15</v>
      </c>
      <c r="J209" s="7">
        <f t="shared" si="10"/>
        <v>18000</v>
      </c>
      <c r="L209" s="7" t="s">
        <v>43</v>
      </c>
      <c r="M209" s="7" t="s">
        <v>17</v>
      </c>
    </row>
    <row r="210" s="7" customFormat="1" spans="1:14">
      <c r="A210" s="38" t="s">
        <v>147</v>
      </c>
      <c r="B210" s="36">
        <v>46120</v>
      </c>
      <c r="C210" s="33" t="s">
        <v>52</v>
      </c>
      <c r="D210" s="7" t="s">
        <v>34</v>
      </c>
      <c r="E210" s="16">
        <v>12</v>
      </c>
      <c r="F210" s="16">
        <v>5</v>
      </c>
      <c r="G210" s="31">
        <f t="shared" si="11"/>
        <v>60</v>
      </c>
      <c r="H210" s="28" t="s">
        <v>16</v>
      </c>
      <c r="I210" s="7">
        <v>10.8</v>
      </c>
      <c r="J210" s="7">
        <f t="shared" si="10"/>
        <v>648</v>
      </c>
      <c r="L210" s="7" t="s">
        <v>43</v>
      </c>
      <c r="M210" s="7" t="s">
        <v>17</v>
      </c>
      <c r="N210" s="52" t="s">
        <v>148</v>
      </c>
    </row>
    <row r="211" s="7" customFormat="1" spans="1:14">
      <c r="A211" s="53" t="s">
        <v>147</v>
      </c>
      <c r="B211" s="36">
        <v>46120</v>
      </c>
      <c r="C211" s="33" t="s">
        <v>52</v>
      </c>
      <c r="D211" s="16" t="s">
        <v>15</v>
      </c>
      <c r="E211" s="16">
        <v>12</v>
      </c>
      <c r="F211" s="16">
        <v>10</v>
      </c>
      <c r="G211" s="31">
        <f t="shared" si="11"/>
        <v>120</v>
      </c>
      <c r="H211" s="28" t="s">
        <v>16</v>
      </c>
      <c r="I211" s="7">
        <v>12.5</v>
      </c>
      <c r="J211" s="7">
        <f t="shared" si="10"/>
        <v>1500</v>
      </c>
      <c r="L211" s="7" t="s">
        <v>43</v>
      </c>
      <c r="M211" s="7" t="s">
        <v>17</v>
      </c>
      <c r="N211" s="52" t="s">
        <v>148</v>
      </c>
    </row>
    <row r="212" s="7" customFormat="1" spans="1:14">
      <c r="A212" s="53" t="s">
        <v>147</v>
      </c>
      <c r="B212" s="36">
        <v>46120</v>
      </c>
      <c r="C212" s="33" t="s">
        <v>52</v>
      </c>
      <c r="D212" s="7" t="s">
        <v>33</v>
      </c>
      <c r="E212" s="16">
        <v>12</v>
      </c>
      <c r="F212" s="16">
        <v>5</v>
      </c>
      <c r="G212" s="31">
        <f t="shared" si="11"/>
        <v>60</v>
      </c>
      <c r="H212" s="28" t="s">
        <v>16</v>
      </c>
      <c r="I212" s="7">
        <v>16</v>
      </c>
      <c r="J212" s="7">
        <f t="shared" si="10"/>
        <v>960</v>
      </c>
      <c r="L212" s="7" t="s">
        <v>43</v>
      </c>
      <c r="M212" s="7" t="s">
        <v>17</v>
      </c>
      <c r="N212" s="52" t="s">
        <v>148</v>
      </c>
    </row>
    <row r="213" s="7" customFormat="1" spans="1:14">
      <c r="A213" s="53" t="s">
        <v>149</v>
      </c>
      <c r="B213" s="36">
        <v>46120</v>
      </c>
      <c r="C213" s="33" t="s">
        <v>52</v>
      </c>
      <c r="D213" s="16" t="s">
        <v>15</v>
      </c>
      <c r="E213" s="16">
        <v>12</v>
      </c>
      <c r="F213" s="16">
        <v>10</v>
      </c>
      <c r="G213" s="31">
        <f t="shared" si="11"/>
        <v>120</v>
      </c>
      <c r="H213" s="28" t="s">
        <v>16</v>
      </c>
      <c r="I213" s="7">
        <v>12.5</v>
      </c>
      <c r="J213" s="7">
        <f t="shared" si="10"/>
        <v>1500</v>
      </c>
      <c r="L213" s="7" t="s">
        <v>43</v>
      </c>
      <c r="M213" s="7" t="s">
        <v>17</v>
      </c>
      <c r="N213" s="52" t="s">
        <v>148</v>
      </c>
    </row>
    <row r="214" s="7" customFormat="1" spans="1:14">
      <c r="A214" s="53" t="s">
        <v>149</v>
      </c>
      <c r="B214" s="36">
        <v>46120</v>
      </c>
      <c r="C214" s="33" t="s">
        <v>52</v>
      </c>
      <c r="D214" s="7" t="s">
        <v>39</v>
      </c>
      <c r="E214" s="16">
        <v>12</v>
      </c>
      <c r="F214" s="16">
        <v>10</v>
      </c>
      <c r="G214" s="31">
        <f t="shared" si="11"/>
        <v>120</v>
      </c>
      <c r="H214" s="28" t="s">
        <v>16</v>
      </c>
      <c r="I214" s="7">
        <v>16</v>
      </c>
      <c r="J214" s="7">
        <f t="shared" si="10"/>
        <v>1920</v>
      </c>
      <c r="L214" s="7" t="s">
        <v>43</v>
      </c>
      <c r="M214" s="7" t="s">
        <v>17</v>
      </c>
      <c r="N214" s="52" t="s">
        <v>148</v>
      </c>
    </row>
    <row r="215" s="7" customFormat="1" spans="1:14">
      <c r="A215" s="38" t="s">
        <v>150</v>
      </c>
      <c r="B215" s="36">
        <v>46121</v>
      </c>
      <c r="C215" s="33" t="s">
        <v>135</v>
      </c>
      <c r="D215" s="7" t="s">
        <v>34</v>
      </c>
      <c r="E215" s="16">
        <v>12</v>
      </c>
      <c r="F215" s="16">
        <v>2</v>
      </c>
      <c r="G215" s="31">
        <f t="shared" si="11"/>
        <v>24</v>
      </c>
      <c r="H215" s="54" t="s">
        <v>16</v>
      </c>
      <c r="I215" s="7">
        <v>11</v>
      </c>
      <c r="J215" s="7">
        <f t="shared" si="10"/>
        <v>264</v>
      </c>
      <c r="L215" s="7" t="s">
        <v>43</v>
      </c>
      <c r="M215" s="7" t="s">
        <v>17</v>
      </c>
    </row>
    <row r="216" s="7" customFormat="1" spans="1:14">
      <c r="A216" s="38" t="s">
        <v>150</v>
      </c>
      <c r="B216" s="36">
        <v>46121</v>
      </c>
      <c r="C216" s="33" t="s">
        <v>135</v>
      </c>
      <c r="D216" s="16" t="s">
        <v>15</v>
      </c>
      <c r="E216" s="16">
        <v>12</v>
      </c>
      <c r="F216" s="16">
        <v>2</v>
      </c>
      <c r="G216" s="31">
        <f t="shared" si="11"/>
        <v>24</v>
      </c>
      <c r="H216" s="54" t="s">
        <v>16</v>
      </c>
      <c r="I216" s="7">
        <v>13</v>
      </c>
      <c r="J216" s="7">
        <f t="shared" si="10"/>
        <v>312</v>
      </c>
      <c r="L216" s="7" t="s">
        <v>43</v>
      </c>
      <c r="M216" s="7" t="s">
        <v>17</v>
      </c>
    </row>
    <row r="217" s="7" customFormat="1" spans="1:14">
      <c r="A217" s="45" t="s">
        <v>151</v>
      </c>
      <c r="B217" s="36">
        <v>46123</v>
      </c>
      <c r="C217" s="46" t="s">
        <v>152</v>
      </c>
      <c r="D217" s="16" t="s">
        <v>15</v>
      </c>
      <c r="E217" s="16">
        <v>12</v>
      </c>
      <c r="F217" s="16">
        <v>50</v>
      </c>
      <c r="G217" s="31">
        <f t="shared" si="11"/>
        <v>600</v>
      </c>
      <c r="H217" s="28" t="s">
        <v>16</v>
      </c>
      <c r="I217" s="7">
        <v>12</v>
      </c>
      <c r="J217" s="7">
        <f t="shared" si="10"/>
        <v>7200</v>
      </c>
      <c r="L217" s="7" t="s">
        <v>43</v>
      </c>
      <c r="M217" s="7" t="s">
        <v>17</v>
      </c>
    </row>
    <row r="218" s="7" customFormat="1" spans="1:14">
      <c r="A218" s="45" t="s">
        <v>151</v>
      </c>
      <c r="B218" s="36">
        <v>46123</v>
      </c>
      <c r="C218" s="46" t="s">
        <v>152</v>
      </c>
      <c r="D218" s="29" t="s">
        <v>32</v>
      </c>
      <c r="E218" s="16">
        <v>12</v>
      </c>
      <c r="F218" s="16">
        <v>200</v>
      </c>
      <c r="G218" s="31">
        <f t="shared" si="11"/>
        <v>2400</v>
      </c>
      <c r="H218" s="28" t="s">
        <v>16</v>
      </c>
      <c r="I218" s="7">
        <v>15</v>
      </c>
      <c r="J218" s="7">
        <f t="shared" si="10"/>
        <v>36000</v>
      </c>
      <c r="L218" s="7" t="s">
        <v>43</v>
      </c>
      <c r="M218" s="7" t="s">
        <v>17</v>
      </c>
    </row>
    <row r="219" s="7" customFormat="1" spans="1:14">
      <c r="A219" s="38" t="s">
        <v>153</v>
      </c>
      <c r="B219" s="36">
        <v>46124</v>
      </c>
      <c r="C219" s="33" t="s">
        <v>154</v>
      </c>
      <c r="D219" s="16" t="s">
        <v>15</v>
      </c>
      <c r="E219" s="16">
        <v>12</v>
      </c>
      <c r="F219" s="16">
        <v>20</v>
      </c>
      <c r="G219" s="31">
        <f t="shared" si="11"/>
        <v>240</v>
      </c>
      <c r="H219" s="28" t="s">
        <v>16</v>
      </c>
      <c r="I219" s="7">
        <v>12</v>
      </c>
      <c r="J219" s="7">
        <f t="shared" si="10"/>
        <v>2880</v>
      </c>
      <c r="L219" s="7" t="s">
        <v>43</v>
      </c>
      <c r="M219" s="7" t="s">
        <v>17</v>
      </c>
    </row>
    <row r="220" s="7" customFormat="1" spans="1:14">
      <c r="A220" s="45" t="s">
        <v>155</v>
      </c>
      <c r="B220" s="36">
        <v>46124</v>
      </c>
      <c r="C220" s="46" t="s">
        <v>156</v>
      </c>
      <c r="D220" s="7" t="s">
        <v>34</v>
      </c>
      <c r="E220" s="16">
        <v>12</v>
      </c>
      <c r="F220" s="16">
        <v>10</v>
      </c>
      <c r="G220" s="31">
        <f t="shared" si="11"/>
        <v>120</v>
      </c>
      <c r="H220" s="54" t="s">
        <v>16</v>
      </c>
      <c r="I220" s="7">
        <v>10</v>
      </c>
      <c r="J220" s="7">
        <f t="shared" si="10"/>
        <v>1200</v>
      </c>
      <c r="L220" s="7" t="s">
        <v>43</v>
      </c>
      <c r="M220" s="7" t="s">
        <v>17</v>
      </c>
    </row>
    <row r="221" s="7" customFormat="1" spans="1:14">
      <c r="A221" s="45" t="s">
        <v>155</v>
      </c>
      <c r="B221" s="36">
        <v>46124</v>
      </c>
      <c r="C221" s="46" t="s">
        <v>156</v>
      </c>
      <c r="D221" s="16" t="s">
        <v>15</v>
      </c>
      <c r="E221" s="16">
        <v>12</v>
      </c>
      <c r="F221" s="16">
        <v>10</v>
      </c>
      <c r="G221" s="31">
        <f t="shared" si="11"/>
        <v>120</v>
      </c>
      <c r="H221" s="54" t="s">
        <v>16</v>
      </c>
      <c r="I221" s="7">
        <v>12</v>
      </c>
      <c r="J221" s="7">
        <f t="shared" si="10"/>
        <v>1440</v>
      </c>
      <c r="L221" s="7" t="s">
        <v>43</v>
      </c>
      <c r="M221" s="7" t="s">
        <v>17</v>
      </c>
    </row>
    <row r="222" s="7" customFormat="1" spans="1:14">
      <c r="A222" s="45" t="s">
        <v>155</v>
      </c>
      <c r="B222" s="36">
        <v>46124</v>
      </c>
      <c r="C222" s="46" t="s">
        <v>156</v>
      </c>
      <c r="D222" s="7" t="s">
        <v>33</v>
      </c>
      <c r="E222" s="16">
        <v>12</v>
      </c>
      <c r="F222" s="16">
        <v>10</v>
      </c>
      <c r="G222" s="31">
        <f t="shared" si="11"/>
        <v>120</v>
      </c>
      <c r="H222" s="54" t="s">
        <v>16</v>
      </c>
      <c r="I222" s="7">
        <v>15</v>
      </c>
      <c r="J222" s="7">
        <f t="shared" si="10"/>
        <v>1800</v>
      </c>
      <c r="L222" s="7" t="s">
        <v>43</v>
      </c>
      <c r="M222" s="7" t="s">
        <v>17</v>
      </c>
    </row>
    <row r="223" s="7" customFormat="1" spans="1:14">
      <c r="A223" s="38" t="s">
        <v>157</v>
      </c>
      <c r="B223" s="36">
        <v>46124</v>
      </c>
      <c r="C223" s="33" t="s">
        <v>158</v>
      </c>
      <c r="D223" s="7" t="s">
        <v>44</v>
      </c>
      <c r="E223" s="16">
        <v>12</v>
      </c>
      <c r="F223" s="16">
        <v>10</v>
      </c>
      <c r="G223" s="31">
        <f t="shared" si="11"/>
        <v>120</v>
      </c>
      <c r="H223" s="54" t="s">
        <v>16</v>
      </c>
      <c r="I223" s="7">
        <v>12</v>
      </c>
      <c r="J223" s="7">
        <f t="shared" si="10"/>
        <v>1440</v>
      </c>
      <c r="L223" s="7" t="s">
        <v>43</v>
      </c>
      <c r="M223" s="7" t="s">
        <v>17</v>
      </c>
    </row>
    <row r="224" s="7" customFormat="1" spans="1:14">
      <c r="A224" s="38" t="s">
        <v>159</v>
      </c>
      <c r="B224" s="36">
        <v>46124</v>
      </c>
      <c r="C224" s="33" t="s">
        <v>73</v>
      </c>
      <c r="D224" s="29" t="s">
        <v>95</v>
      </c>
      <c r="E224" s="16"/>
      <c r="F224" s="16"/>
      <c r="G224" s="54">
        <v>30</v>
      </c>
      <c r="H224" s="54" t="s">
        <v>16</v>
      </c>
      <c r="I224" s="7">
        <v>18.3</v>
      </c>
      <c r="J224" s="7">
        <f t="shared" si="10"/>
        <v>549</v>
      </c>
      <c r="L224" s="7" t="s">
        <v>43</v>
      </c>
      <c r="M224" s="7" t="s">
        <v>17</v>
      </c>
    </row>
    <row r="225" s="7" customFormat="1" spans="1:14">
      <c r="A225" s="45" t="s">
        <v>160</v>
      </c>
      <c r="B225" s="36">
        <v>46124</v>
      </c>
      <c r="C225" s="46" t="s">
        <v>161</v>
      </c>
      <c r="D225" s="7" t="s">
        <v>34</v>
      </c>
      <c r="E225" s="16">
        <v>12</v>
      </c>
      <c r="F225" s="16">
        <v>20</v>
      </c>
      <c r="G225" s="31">
        <f t="shared" ref="G225:G274" si="12">F225*E225</f>
        <v>240</v>
      </c>
      <c r="H225" s="54" t="s">
        <v>16</v>
      </c>
      <c r="I225" s="7">
        <v>10</v>
      </c>
      <c r="J225" s="7">
        <f t="shared" si="10"/>
        <v>2400</v>
      </c>
      <c r="L225" s="7" t="s">
        <v>43</v>
      </c>
      <c r="M225" s="7" t="s">
        <v>17</v>
      </c>
    </row>
    <row r="226" s="7" customFormat="1" spans="1:14">
      <c r="A226" s="45" t="s">
        <v>160</v>
      </c>
      <c r="B226" s="36">
        <v>46124</v>
      </c>
      <c r="C226" s="46" t="s">
        <v>161</v>
      </c>
      <c r="D226" s="16" t="s">
        <v>15</v>
      </c>
      <c r="E226" s="16">
        <v>12</v>
      </c>
      <c r="F226" s="16">
        <v>30</v>
      </c>
      <c r="G226" s="31">
        <f t="shared" si="12"/>
        <v>360</v>
      </c>
      <c r="H226" s="54" t="s">
        <v>16</v>
      </c>
      <c r="I226" s="7">
        <v>12</v>
      </c>
      <c r="J226" s="7">
        <f t="shared" si="10"/>
        <v>4320</v>
      </c>
      <c r="L226" s="7" t="s">
        <v>43</v>
      </c>
      <c r="M226" s="7" t="s">
        <v>17</v>
      </c>
    </row>
    <row r="227" s="7" customFormat="1" spans="1:14">
      <c r="A227" s="45" t="s">
        <v>162</v>
      </c>
      <c r="B227" s="36">
        <v>46124</v>
      </c>
      <c r="C227" s="46" t="s">
        <v>61</v>
      </c>
      <c r="D227" s="7" t="s">
        <v>34</v>
      </c>
      <c r="E227" s="44">
        <v>12</v>
      </c>
      <c r="F227" s="44">
        <v>10</v>
      </c>
      <c r="G227" s="31">
        <f t="shared" si="12"/>
        <v>120</v>
      </c>
      <c r="H227" s="54" t="s">
        <v>16</v>
      </c>
      <c r="I227" s="7">
        <v>10</v>
      </c>
      <c r="J227" s="7">
        <f t="shared" si="10"/>
        <v>1200</v>
      </c>
      <c r="L227" s="7" t="s">
        <v>43</v>
      </c>
      <c r="M227" s="7" t="s">
        <v>17</v>
      </c>
    </row>
    <row r="228" s="7" customFormat="1" spans="1:14">
      <c r="A228" s="45" t="s">
        <v>162</v>
      </c>
      <c r="B228" s="36">
        <v>46124</v>
      </c>
      <c r="C228" s="46" t="s">
        <v>61</v>
      </c>
      <c r="D228" s="16" t="s">
        <v>15</v>
      </c>
      <c r="E228" s="44">
        <v>12</v>
      </c>
      <c r="F228" s="44">
        <v>30</v>
      </c>
      <c r="G228" s="31">
        <f t="shared" si="12"/>
        <v>360</v>
      </c>
      <c r="H228" s="54" t="s">
        <v>16</v>
      </c>
      <c r="I228" s="7">
        <v>12</v>
      </c>
      <c r="J228" s="7">
        <f t="shared" si="10"/>
        <v>4320</v>
      </c>
      <c r="L228" s="7" t="s">
        <v>43</v>
      </c>
      <c r="M228" s="7" t="s">
        <v>17</v>
      </c>
    </row>
    <row r="229" s="7" customFormat="1" spans="1:14">
      <c r="A229" s="38" t="s">
        <v>163</v>
      </c>
      <c r="B229" s="36">
        <v>46125</v>
      </c>
      <c r="C229" s="33" t="s">
        <v>164</v>
      </c>
      <c r="D229" s="16" t="s">
        <v>15</v>
      </c>
      <c r="E229" s="16">
        <v>12</v>
      </c>
      <c r="F229" s="16">
        <v>150</v>
      </c>
      <c r="G229" s="31">
        <f t="shared" si="12"/>
        <v>1800</v>
      </c>
      <c r="H229" s="28" t="s">
        <v>16</v>
      </c>
      <c r="I229" s="7">
        <v>12</v>
      </c>
      <c r="J229" s="7">
        <f t="shared" si="10"/>
        <v>21600</v>
      </c>
      <c r="L229" s="7" t="s">
        <v>43</v>
      </c>
      <c r="M229" s="7" t="s">
        <v>17</v>
      </c>
    </row>
    <row r="230" s="7" customFormat="1" spans="1:14">
      <c r="A230" s="35" t="s">
        <v>165</v>
      </c>
      <c r="B230" s="36">
        <v>46127</v>
      </c>
      <c r="C230" s="26" t="s">
        <v>52</v>
      </c>
      <c r="D230" s="16" t="s">
        <v>15</v>
      </c>
      <c r="E230" s="26">
        <v>12</v>
      </c>
      <c r="F230" s="26">
        <v>50</v>
      </c>
      <c r="G230" s="31">
        <f t="shared" si="12"/>
        <v>600</v>
      </c>
      <c r="H230" s="28" t="s">
        <v>16</v>
      </c>
      <c r="I230" s="7">
        <v>12.5</v>
      </c>
      <c r="J230" s="7">
        <f t="shared" si="10"/>
        <v>7500</v>
      </c>
      <c r="L230" s="7" t="s">
        <v>43</v>
      </c>
      <c r="M230" s="7" t="s">
        <v>17</v>
      </c>
      <c r="N230" s="52" t="s">
        <v>148</v>
      </c>
    </row>
    <row r="231" s="7" customFormat="1" spans="1:14">
      <c r="A231" s="38" t="s">
        <v>147</v>
      </c>
      <c r="B231" s="36">
        <v>46127</v>
      </c>
      <c r="C231" s="33" t="s">
        <v>52</v>
      </c>
      <c r="D231" s="16" t="s">
        <v>15</v>
      </c>
      <c r="E231" s="16">
        <v>12</v>
      </c>
      <c r="F231" s="16">
        <v>15</v>
      </c>
      <c r="G231" s="31">
        <f t="shared" si="12"/>
        <v>180</v>
      </c>
      <c r="H231" s="28" t="s">
        <v>16</v>
      </c>
      <c r="I231" s="7">
        <v>12.5</v>
      </c>
      <c r="J231" s="7">
        <f t="shared" si="10"/>
        <v>2250</v>
      </c>
      <c r="L231" s="7" t="s">
        <v>43</v>
      </c>
      <c r="M231" s="7" t="s">
        <v>17</v>
      </c>
      <c r="N231" s="52" t="s">
        <v>148</v>
      </c>
    </row>
    <row r="232" s="7" customFormat="1" spans="1:14">
      <c r="A232" s="35" t="s">
        <v>166</v>
      </c>
      <c r="B232" s="55">
        <v>46129</v>
      </c>
      <c r="C232" s="29" t="s">
        <v>167</v>
      </c>
      <c r="D232" s="16" t="s">
        <v>15</v>
      </c>
      <c r="E232" s="29">
        <v>12</v>
      </c>
      <c r="F232" s="29">
        <v>30</v>
      </c>
      <c r="G232" s="31">
        <f t="shared" si="12"/>
        <v>360</v>
      </c>
      <c r="H232" s="31" t="s">
        <v>16</v>
      </c>
      <c r="I232" s="7">
        <v>12</v>
      </c>
      <c r="J232" s="7">
        <f t="shared" si="10"/>
        <v>4320</v>
      </c>
      <c r="L232" s="7" t="s">
        <v>43</v>
      </c>
      <c r="M232" s="7" t="s">
        <v>17</v>
      </c>
    </row>
    <row r="233" s="7" customFormat="1" spans="1:14">
      <c r="A233" s="35" t="s">
        <v>168</v>
      </c>
      <c r="B233" s="50">
        <v>46129</v>
      </c>
      <c r="C233" s="26" t="s">
        <v>169</v>
      </c>
      <c r="D233" s="16" t="s">
        <v>15</v>
      </c>
      <c r="E233" s="29">
        <v>12</v>
      </c>
      <c r="F233" s="29">
        <v>10</v>
      </c>
      <c r="G233" s="31">
        <f t="shared" si="12"/>
        <v>120</v>
      </c>
      <c r="H233" s="31" t="s">
        <v>16</v>
      </c>
      <c r="I233" s="7">
        <v>12</v>
      </c>
      <c r="J233" s="7">
        <f t="shared" si="10"/>
        <v>1440</v>
      </c>
      <c r="L233" s="7" t="s">
        <v>43</v>
      </c>
      <c r="M233" s="7" t="s">
        <v>17</v>
      </c>
    </row>
    <row r="234" s="7" customFormat="1" spans="1:14">
      <c r="A234" s="49" t="s">
        <v>170</v>
      </c>
      <c r="B234" s="50">
        <v>46129</v>
      </c>
      <c r="C234" s="51" t="s">
        <v>171</v>
      </c>
      <c r="D234" s="16" t="s">
        <v>15</v>
      </c>
      <c r="E234" s="29">
        <v>12</v>
      </c>
      <c r="F234" s="29">
        <v>150</v>
      </c>
      <c r="G234" s="31">
        <f t="shared" si="12"/>
        <v>1800</v>
      </c>
      <c r="H234" s="31" t="s">
        <v>16</v>
      </c>
      <c r="I234" s="7">
        <v>12</v>
      </c>
      <c r="J234" s="7">
        <f t="shared" si="10"/>
        <v>21600</v>
      </c>
      <c r="L234" s="7" t="s">
        <v>43</v>
      </c>
      <c r="M234" s="7" t="s">
        <v>17</v>
      </c>
    </row>
    <row r="235" s="7" customFormat="1" spans="1:14">
      <c r="A235" s="49" t="s">
        <v>170</v>
      </c>
      <c r="B235" s="50">
        <v>46129</v>
      </c>
      <c r="C235" s="51" t="s">
        <v>171</v>
      </c>
      <c r="D235" s="7" t="s">
        <v>34</v>
      </c>
      <c r="E235" s="29">
        <v>12</v>
      </c>
      <c r="F235" s="29">
        <v>100</v>
      </c>
      <c r="G235" s="31">
        <f t="shared" si="12"/>
        <v>1200</v>
      </c>
      <c r="H235" s="31" t="s">
        <v>16</v>
      </c>
      <c r="I235" s="7">
        <v>10</v>
      </c>
      <c r="J235" s="7">
        <f t="shared" si="10"/>
        <v>12000</v>
      </c>
      <c r="L235" s="7" t="s">
        <v>43</v>
      </c>
      <c r="M235" s="7" t="s">
        <v>17</v>
      </c>
    </row>
    <row r="236" s="7" customFormat="1" spans="1:14">
      <c r="A236" s="38" t="s">
        <v>172</v>
      </c>
      <c r="B236" s="36">
        <v>46129</v>
      </c>
      <c r="C236" s="33" t="s">
        <v>77</v>
      </c>
      <c r="D236" s="7" t="s">
        <v>34</v>
      </c>
      <c r="E236" s="16">
        <v>12</v>
      </c>
      <c r="F236" s="16">
        <v>30</v>
      </c>
      <c r="G236" s="31">
        <f t="shared" si="12"/>
        <v>360</v>
      </c>
      <c r="H236" s="28" t="s">
        <v>16</v>
      </c>
      <c r="I236" s="7">
        <v>11.5</v>
      </c>
      <c r="J236" s="7">
        <f t="shared" si="10"/>
        <v>4140</v>
      </c>
      <c r="L236" s="7" t="s">
        <v>43</v>
      </c>
      <c r="M236" s="7" t="s">
        <v>17</v>
      </c>
    </row>
    <row r="237" s="7" customFormat="1" ht="91" customHeight="1" spans="1:14">
      <c r="A237" s="38" t="s">
        <v>172</v>
      </c>
      <c r="B237" s="36">
        <v>46129</v>
      </c>
      <c r="C237" s="33" t="s">
        <v>77</v>
      </c>
      <c r="D237" s="16" t="s">
        <v>15</v>
      </c>
      <c r="E237" s="16">
        <v>12</v>
      </c>
      <c r="F237" s="16">
        <v>30</v>
      </c>
      <c r="G237" s="31">
        <f t="shared" si="12"/>
        <v>360</v>
      </c>
      <c r="H237" s="28" t="s">
        <v>16</v>
      </c>
      <c r="I237" s="7">
        <v>14</v>
      </c>
      <c r="J237" s="7">
        <f t="shared" si="10"/>
        <v>5040</v>
      </c>
      <c r="L237" s="7" t="s">
        <v>43</v>
      </c>
      <c r="M237" s="7" t="s">
        <v>17</v>
      </c>
    </row>
    <row r="238" s="7" customFormat="1" ht="91" customHeight="1" spans="1:14">
      <c r="A238" s="38" t="s">
        <v>172</v>
      </c>
      <c r="B238" s="36">
        <v>46129</v>
      </c>
      <c r="C238" s="33" t="s">
        <v>77</v>
      </c>
      <c r="D238" s="7" t="s">
        <v>33</v>
      </c>
      <c r="E238" s="16">
        <v>12</v>
      </c>
      <c r="F238" s="16">
        <v>20</v>
      </c>
      <c r="G238" s="31">
        <f t="shared" si="12"/>
        <v>240</v>
      </c>
      <c r="H238" s="28" t="s">
        <v>16</v>
      </c>
      <c r="I238" s="7">
        <v>18</v>
      </c>
      <c r="J238" s="7">
        <f t="shared" si="10"/>
        <v>4320</v>
      </c>
      <c r="L238" s="7" t="s">
        <v>43</v>
      </c>
      <c r="M238" s="7" t="s">
        <v>17</v>
      </c>
    </row>
    <row r="239" s="7" customFormat="1" ht="91" customHeight="1" spans="1:14">
      <c r="A239" s="38" t="s">
        <v>172</v>
      </c>
      <c r="B239" s="36">
        <v>46129</v>
      </c>
      <c r="C239" s="33" t="s">
        <v>77</v>
      </c>
      <c r="D239" s="17" t="s">
        <v>48</v>
      </c>
      <c r="E239" s="16">
        <v>12</v>
      </c>
      <c r="F239" s="16">
        <v>20</v>
      </c>
      <c r="G239" s="31">
        <f t="shared" si="12"/>
        <v>240</v>
      </c>
      <c r="H239" s="28" t="s">
        <v>16</v>
      </c>
      <c r="I239" s="7">
        <v>17.5</v>
      </c>
      <c r="J239" s="7">
        <f t="shared" si="10"/>
        <v>4200</v>
      </c>
      <c r="L239" s="7" t="s">
        <v>43</v>
      </c>
      <c r="M239" s="7" t="s">
        <v>17</v>
      </c>
    </row>
    <row r="240" s="7" customFormat="1" spans="1:14">
      <c r="A240" s="45" t="s">
        <v>173</v>
      </c>
      <c r="B240" s="36">
        <v>46129</v>
      </c>
      <c r="C240" s="46" t="s">
        <v>174</v>
      </c>
      <c r="D240" s="7" t="s">
        <v>33</v>
      </c>
      <c r="E240" s="16">
        <v>12</v>
      </c>
      <c r="F240" s="16">
        <v>20</v>
      </c>
      <c r="G240" s="31">
        <f t="shared" si="12"/>
        <v>240</v>
      </c>
      <c r="H240" s="28" t="s">
        <v>16</v>
      </c>
      <c r="I240" s="7">
        <v>15</v>
      </c>
      <c r="J240" s="7">
        <f t="shared" si="10"/>
        <v>3600</v>
      </c>
      <c r="L240" s="7" t="s">
        <v>43</v>
      </c>
      <c r="M240" s="7" t="s">
        <v>17</v>
      </c>
    </row>
    <row r="241" s="7" customFormat="1" spans="1:14">
      <c r="A241" s="45" t="s">
        <v>173</v>
      </c>
      <c r="B241" s="36">
        <v>46129</v>
      </c>
      <c r="C241" s="46" t="s">
        <v>174</v>
      </c>
      <c r="D241" s="16" t="s">
        <v>15</v>
      </c>
      <c r="E241" s="16">
        <v>12</v>
      </c>
      <c r="F241" s="16">
        <v>30</v>
      </c>
      <c r="G241" s="31">
        <f t="shared" si="12"/>
        <v>360</v>
      </c>
      <c r="H241" s="28" t="s">
        <v>16</v>
      </c>
      <c r="I241" s="7">
        <v>12</v>
      </c>
      <c r="J241" s="7">
        <f t="shared" si="10"/>
        <v>4320</v>
      </c>
      <c r="L241" s="7" t="s">
        <v>43</v>
      </c>
      <c r="M241" s="7" t="s">
        <v>17</v>
      </c>
    </row>
    <row r="242" s="7" customFormat="1" spans="1:14">
      <c r="A242" s="38" t="s">
        <v>175</v>
      </c>
      <c r="B242" s="36">
        <v>46129</v>
      </c>
      <c r="C242" s="33" t="s">
        <v>176</v>
      </c>
      <c r="D242" s="16" t="s">
        <v>15</v>
      </c>
      <c r="E242" s="16">
        <v>12</v>
      </c>
      <c r="F242" s="16">
        <v>30</v>
      </c>
      <c r="G242" s="31">
        <f t="shared" si="12"/>
        <v>360</v>
      </c>
      <c r="H242" s="28" t="s">
        <v>16</v>
      </c>
      <c r="I242" s="7">
        <v>12</v>
      </c>
      <c r="J242" s="7">
        <f t="shared" si="10"/>
        <v>4320</v>
      </c>
      <c r="L242" s="7" t="s">
        <v>43</v>
      </c>
      <c r="M242" s="7" t="s">
        <v>17</v>
      </c>
    </row>
    <row r="243" s="7" customFormat="1" spans="1:14">
      <c r="A243" s="45" t="s">
        <v>177</v>
      </c>
      <c r="B243" s="36">
        <v>46129</v>
      </c>
      <c r="C243" s="46" t="s">
        <v>116</v>
      </c>
      <c r="D243" s="7" t="s">
        <v>34</v>
      </c>
      <c r="E243" s="16">
        <v>12</v>
      </c>
      <c r="F243" s="16">
        <v>10</v>
      </c>
      <c r="G243" s="31">
        <f t="shared" si="12"/>
        <v>120</v>
      </c>
      <c r="H243" s="54" t="s">
        <v>16</v>
      </c>
      <c r="I243" s="7">
        <v>10</v>
      </c>
      <c r="J243" s="7">
        <f t="shared" si="10"/>
        <v>1200</v>
      </c>
      <c r="L243" s="7" t="s">
        <v>43</v>
      </c>
      <c r="M243" s="7" t="s">
        <v>17</v>
      </c>
    </row>
    <row r="244" s="7" customFormat="1" spans="1:14">
      <c r="A244" s="45" t="s">
        <v>177</v>
      </c>
      <c r="B244" s="36">
        <v>46129</v>
      </c>
      <c r="C244" s="46" t="s">
        <v>116</v>
      </c>
      <c r="D244" s="16" t="s">
        <v>15</v>
      </c>
      <c r="E244" s="16">
        <v>12</v>
      </c>
      <c r="F244" s="16">
        <v>30</v>
      </c>
      <c r="G244" s="31">
        <f t="shared" si="12"/>
        <v>360</v>
      </c>
      <c r="H244" s="54" t="s">
        <v>16</v>
      </c>
      <c r="I244" s="7">
        <v>12</v>
      </c>
      <c r="J244" s="7">
        <f t="shared" si="10"/>
        <v>4320</v>
      </c>
      <c r="L244" s="7" t="s">
        <v>43</v>
      </c>
      <c r="M244" s="7" t="s">
        <v>17</v>
      </c>
    </row>
    <row r="245" s="7" customFormat="1" spans="1:14">
      <c r="A245" s="38" t="s">
        <v>178</v>
      </c>
      <c r="B245" s="36">
        <v>46129</v>
      </c>
      <c r="C245" s="37" t="s">
        <v>179</v>
      </c>
      <c r="D245" s="16" t="s">
        <v>35</v>
      </c>
      <c r="E245" s="16">
        <v>12</v>
      </c>
      <c r="F245" s="16">
        <v>21</v>
      </c>
      <c r="G245" s="31">
        <f t="shared" si="12"/>
        <v>252</v>
      </c>
      <c r="H245" s="54" t="s">
        <v>16</v>
      </c>
      <c r="I245" s="7">
        <v>17.5</v>
      </c>
      <c r="J245" s="7">
        <f t="shared" si="10"/>
        <v>4410</v>
      </c>
      <c r="L245" s="7" t="s">
        <v>43</v>
      </c>
      <c r="M245" s="7" t="s">
        <v>17</v>
      </c>
    </row>
    <row r="246" s="7" customFormat="1" spans="1:14">
      <c r="A246" s="45" t="s">
        <v>180</v>
      </c>
      <c r="B246" s="36">
        <v>46129</v>
      </c>
      <c r="C246" s="46" t="s">
        <v>181</v>
      </c>
      <c r="D246" s="16" t="s">
        <v>15</v>
      </c>
      <c r="E246" s="16">
        <v>12</v>
      </c>
      <c r="F246" s="16">
        <v>10</v>
      </c>
      <c r="G246" s="31">
        <f t="shared" si="12"/>
        <v>120</v>
      </c>
      <c r="H246" s="54" t="s">
        <v>16</v>
      </c>
      <c r="I246" s="7">
        <v>12</v>
      </c>
      <c r="J246" s="7">
        <f t="shared" ref="J246:J309" si="13">G246*I246</f>
        <v>1440</v>
      </c>
      <c r="L246" s="7" t="s">
        <v>43</v>
      </c>
      <c r="M246" s="7" t="s">
        <v>17</v>
      </c>
    </row>
    <row r="247" s="7" customFormat="1" spans="1:14">
      <c r="A247" s="45" t="s">
        <v>180</v>
      </c>
      <c r="B247" s="36">
        <v>46129</v>
      </c>
      <c r="C247" s="46" t="s">
        <v>181</v>
      </c>
      <c r="D247" s="7" t="s">
        <v>34</v>
      </c>
      <c r="E247" s="16">
        <v>12</v>
      </c>
      <c r="F247" s="16">
        <v>20</v>
      </c>
      <c r="G247" s="31">
        <f t="shared" si="12"/>
        <v>240</v>
      </c>
      <c r="H247" s="54" t="s">
        <v>16</v>
      </c>
      <c r="I247" s="7">
        <v>10</v>
      </c>
      <c r="J247" s="7">
        <f t="shared" si="13"/>
        <v>2400</v>
      </c>
      <c r="L247" s="7" t="s">
        <v>43</v>
      </c>
      <c r="M247" s="7" t="s">
        <v>17</v>
      </c>
    </row>
    <row r="248" s="7" customFormat="1" hidden="1" spans="1:14">
      <c r="A248" s="38" t="s">
        <v>182</v>
      </c>
      <c r="B248" s="36">
        <v>46132</v>
      </c>
      <c r="C248" s="33" t="s">
        <v>183</v>
      </c>
      <c r="D248" s="29" t="s">
        <v>32</v>
      </c>
      <c r="E248" s="16">
        <v>12</v>
      </c>
      <c r="F248" s="16">
        <v>20</v>
      </c>
      <c r="G248" s="31">
        <f t="shared" si="12"/>
        <v>240</v>
      </c>
      <c r="H248" s="54" t="s">
        <v>16</v>
      </c>
      <c r="I248" s="7">
        <v>18.315</v>
      </c>
      <c r="J248" s="7">
        <f t="shared" si="13"/>
        <v>4395.6</v>
      </c>
      <c r="L248" s="7" t="s">
        <v>17</v>
      </c>
      <c r="M248" s="7" t="s">
        <v>17</v>
      </c>
    </row>
    <row r="249" s="7" customFormat="1" spans="1:14">
      <c r="A249" s="38" t="s">
        <v>184</v>
      </c>
      <c r="B249" s="36">
        <v>46133</v>
      </c>
      <c r="C249" s="33" t="s">
        <v>75</v>
      </c>
      <c r="D249" s="16" t="s">
        <v>15</v>
      </c>
      <c r="E249" s="16">
        <v>12</v>
      </c>
      <c r="F249" s="16">
        <v>15</v>
      </c>
      <c r="G249" s="31">
        <f t="shared" si="12"/>
        <v>180</v>
      </c>
      <c r="H249" s="54" t="s">
        <v>16</v>
      </c>
      <c r="I249" s="7">
        <v>12</v>
      </c>
      <c r="J249" s="7">
        <f t="shared" si="13"/>
        <v>2160</v>
      </c>
      <c r="L249" s="7" t="s">
        <v>43</v>
      </c>
      <c r="M249" s="7" t="s">
        <v>17</v>
      </c>
    </row>
    <row r="250" s="7" customFormat="1" spans="1:14">
      <c r="A250" s="38" t="s">
        <v>184</v>
      </c>
      <c r="B250" s="36">
        <v>46133</v>
      </c>
      <c r="C250" s="33" t="s">
        <v>75</v>
      </c>
      <c r="D250" s="7" t="s">
        <v>34</v>
      </c>
      <c r="E250" s="16">
        <v>12</v>
      </c>
      <c r="F250" s="16">
        <v>15</v>
      </c>
      <c r="G250" s="31">
        <f t="shared" si="12"/>
        <v>180</v>
      </c>
      <c r="H250" s="54" t="s">
        <v>16</v>
      </c>
      <c r="I250" s="7">
        <v>10</v>
      </c>
      <c r="J250" s="7">
        <f t="shared" si="13"/>
        <v>1800</v>
      </c>
      <c r="L250" s="7" t="s">
        <v>43</v>
      </c>
      <c r="M250" s="7" t="s">
        <v>17</v>
      </c>
    </row>
    <row r="251" s="7" customFormat="1" spans="1:14">
      <c r="A251" s="38" t="s">
        <v>184</v>
      </c>
      <c r="B251" s="36">
        <v>46133</v>
      </c>
      <c r="C251" s="33" t="s">
        <v>75</v>
      </c>
      <c r="D251" s="7" t="s">
        <v>39</v>
      </c>
      <c r="E251" s="16">
        <v>12</v>
      </c>
      <c r="F251" s="16">
        <v>10</v>
      </c>
      <c r="G251" s="31">
        <f t="shared" si="12"/>
        <v>120</v>
      </c>
      <c r="H251" s="54" t="s">
        <v>16</v>
      </c>
      <c r="I251" s="7">
        <v>15</v>
      </c>
      <c r="J251" s="7">
        <f t="shared" si="13"/>
        <v>1800</v>
      </c>
      <c r="L251" s="7" t="s">
        <v>43</v>
      </c>
      <c r="M251" s="7" t="s">
        <v>17</v>
      </c>
    </row>
    <row r="252" s="7" customFormat="1" spans="1:14">
      <c r="A252" s="35" t="s">
        <v>185</v>
      </c>
      <c r="B252" s="55">
        <v>46134</v>
      </c>
      <c r="C252" s="29" t="s">
        <v>186</v>
      </c>
      <c r="D252" s="16" t="s">
        <v>15</v>
      </c>
      <c r="E252" s="29">
        <v>12</v>
      </c>
      <c r="F252" s="29">
        <v>120</v>
      </c>
      <c r="G252" s="31">
        <f t="shared" si="12"/>
        <v>1440</v>
      </c>
      <c r="H252" s="31" t="s">
        <v>16</v>
      </c>
      <c r="I252" s="7">
        <v>12</v>
      </c>
      <c r="J252" s="7">
        <f t="shared" si="13"/>
        <v>17280</v>
      </c>
      <c r="L252" s="7" t="s">
        <v>43</v>
      </c>
      <c r="M252" s="7" t="s">
        <v>17</v>
      </c>
    </row>
    <row r="253" s="7" customFormat="1" spans="1:14">
      <c r="A253" s="49" t="s">
        <v>187</v>
      </c>
      <c r="B253" s="50">
        <v>46134</v>
      </c>
      <c r="C253" s="56" t="s">
        <v>188</v>
      </c>
      <c r="D253" s="7" t="s">
        <v>34</v>
      </c>
      <c r="E253" s="26">
        <v>12</v>
      </c>
      <c r="F253" s="26">
        <v>10</v>
      </c>
      <c r="G253" s="31">
        <f t="shared" si="12"/>
        <v>120</v>
      </c>
      <c r="H253" s="28" t="s">
        <v>16</v>
      </c>
      <c r="I253" s="7">
        <v>10</v>
      </c>
      <c r="J253" s="7">
        <f t="shared" si="13"/>
        <v>1200</v>
      </c>
      <c r="L253" s="7" t="s">
        <v>43</v>
      </c>
      <c r="M253" s="7" t="s">
        <v>17</v>
      </c>
    </row>
    <row r="254" s="7" customFormat="1" spans="1:14">
      <c r="A254" s="49" t="s">
        <v>187</v>
      </c>
      <c r="B254" s="50">
        <v>46134</v>
      </c>
      <c r="C254" s="56" t="s">
        <v>188</v>
      </c>
      <c r="D254" s="16" t="s">
        <v>15</v>
      </c>
      <c r="E254" s="26">
        <v>12</v>
      </c>
      <c r="F254" s="26">
        <v>29</v>
      </c>
      <c r="G254" s="31">
        <f t="shared" si="12"/>
        <v>348</v>
      </c>
      <c r="H254" s="28" t="s">
        <v>16</v>
      </c>
      <c r="I254" s="7">
        <v>12</v>
      </c>
      <c r="J254" s="7">
        <f t="shared" si="13"/>
        <v>4176</v>
      </c>
      <c r="L254" s="7" t="s">
        <v>43</v>
      </c>
      <c r="M254" s="7" t="s">
        <v>17</v>
      </c>
    </row>
    <row r="255" s="7" customFormat="1" spans="1:14">
      <c r="A255" s="49" t="s">
        <v>187</v>
      </c>
      <c r="B255" s="50">
        <v>46134</v>
      </c>
      <c r="C255" s="56" t="s">
        <v>188</v>
      </c>
      <c r="D255" s="7" t="s">
        <v>33</v>
      </c>
      <c r="E255" s="26">
        <v>12</v>
      </c>
      <c r="F255" s="26">
        <v>12</v>
      </c>
      <c r="G255" s="31">
        <f t="shared" si="12"/>
        <v>144</v>
      </c>
      <c r="H255" s="28" t="s">
        <v>16</v>
      </c>
      <c r="I255" s="7">
        <v>18</v>
      </c>
      <c r="J255" s="7">
        <f t="shared" si="13"/>
        <v>2592</v>
      </c>
      <c r="L255" s="7" t="s">
        <v>43</v>
      </c>
      <c r="M255" s="7" t="s">
        <v>17</v>
      </c>
    </row>
    <row r="256" s="7" customFormat="1" spans="1:14">
      <c r="A256" s="35" t="s">
        <v>165</v>
      </c>
      <c r="B256" s="36">
        <v>46134</v>
      </c>
      <c r="C256" s="26" t="s">
        <v>52</v>
      </c>
      <c r="D256" s="16" t="s">
        <v>15</v>
      </c>
      <c r="E256" s="26">
        <v>12</v>
      </c>
      <c r="F256" s="26">
        <v>50</v>
      </c>
      <c r="G256" s="31">
        <f t="shared" si="12"/>
        <v>600</v>
      </c>
      <c r="H256" s="28" t="s">
        <v>16</v>
      </c>
      <c r="I256" s="7">
        <v>12.5</v>
      </c>
      <c r="J256" s="7">
        <f t="shared" si="13"/>
        <v>7500</v>
      </c>
      <c r="L256" s="7" t="s">
        <v>43</v>
      </c>
      <c r="M256" s="7" t="s">
        <v>17</v>
      </c>
      <c r="N256" s="52" t="s">
        <v>148</v>
      </c>
    </row>
    <row r="257" s="7" customFormat="1" ht="110" customHeight="1" spans="1:13">
      <c r="A257" s="38" t="s">
        <v>189</v>
      </c>
      <c r="B257" s="36">
        <v>46134</v>
      </c>
      <c r="C257" s="33" t="s">
        <v>66</v>
      </c>
      <c r="D257" s="16" t="s">
        <v>15</v>
      </c>
      <c r="E257" s="16">
        <v>12</v>
      </c>
      <c r="F257" s="16">
        <v>80</v>
      </c>
      <c r="G257" s="31">
        <f t="shared" si="12"/>
        <v>960</v>
      </c>
      <c r="H257" s="28" t="s">
        <v>16</v>
      </c>
      <c r="I257" s="7">
        <v>12</v>
      </c>
      <c r="J257" s="7">
        <f t="shared" si="13"/>
        <v>11520</v>
      </c>
      <c r="L257" s="7" t="s">
        <v>43</v>
      </c>
      <c r="M257" s="7" t="s">
        <v>17</v>
      </c>
    </row>
    <row r="258" s="7" customFormat="1" spans="1:13">
      <c r="A258" s="38" t="s">
        <v>190</v>
      </c>
      <c r="B258" s="36">
        <v>46135</v>
      </c>
      <c r="C258" s="33" t="s">
        <v>75</v>
      </c>
      <c r="D258" s="7" t="s">
        <v>50</v>
      </c>
      <c r="E258" s="16">
        <v>12</v>
      </c>
      <c r="F258" s="16">
        <v>20</v>
      </c>
      <c r="G258" s="31">
        <f t="shared" si="12"/>
        <v>240</v>
      </c>
      <c r="H258" s="54" t="s">
        <v>16</v>
      </c>
      <c r="I258" s="7">
        <v>17.5</v>
      </c>
      <c r="J258" s="7">
        <f t="shared" si="13"/>
        <v>4200</v>
      </c>
      <c r="L258" s="7" t="s">
        <v>43</v>
      </c>
      <c r="M258" s="7" t="s">
        <v>17</v>
      </c>
    </row>
    <row r="259" s="7" customFormat="1" spans="1:13">
      <c r="A259" s="35" t="s">
        <v>191</v>
      </c>
      <c r="B259" s="55">
        <v>46137</v>
      </c>
      <c r="C259" s="26" t="s">
        <v>192</v>
      </c>
      <c r="D259" s="16" t="s">
        <v>15</v>
      </c>
      <c r="E259" s="26">
        <v>12</v>
      </c>
      <c r="F259" s="26">
        <v>30</v>
      </c>
      <c r="G259" s="31">
        <f t="shared" si="12"/>
        <v>360</v>
      </c>
      <c r="H259" s="28" t="s">
        <v>16</v>
      </c>
      <c r="I259" s="7">
        <v>12</v>
      </c>
      <c r="J259" s="7">
        <f t="shared" si="13"/>
        <v>4320</v>
      </c>
      <c r="L259" s="7" t="s">
        <v>43</v>
      </c>
      <c r="M259" s="7" t="s">
        <v>17</v>
      </c>
    </row>
    <row r="260" s="7" customFormat="1" spans="1:13">
      <c r="A260" s="38" t="s">
        <v>193</v>
      </c>
      <c r="B260" s="36">
        <v>46137</v>
      </c>
      <c r="C260" s="33" t="s">
        <v>194</v>
      </c>
      <c r="D260" s="7" t="s">
        <v>34</v>
      </c>
      <c r="E260" s="16">
        <v>12</v>
      </c>
      <c r="F260" s="16">
        <v>30</v>
      </c>
      <c r="G260" s="31">
        <f t="shared" si="12"/>
        <v>360</v>
      </c>
      <c r="H260" s="54" t="s">
        <v>16</v>
      </c>
      <c r="I260" s="7">
        <v>10</v>
      </c>
      <c r="J260" s="7">
        <f t="shared" si="13"/>
        <v>3600</v>
      </c>
      <c r="L260" s="7" t="s">
        <v>43</v>
      </c>
      <c r="M260" s="7" t="s">
        <v>17</v>
      </c>
    </row>
    <row r="261" s="7" customFormat="1" spans="1:13">
      <c r="A261" s="45" t="s">
        <v>195</v>
      </c>
      <c r="B261" s="36">
        <v>46137</v>
      </c>
      <c r="C261" s="57" t="s">
        <v>196</v>
      </c>
      <c r="D261" s="16" t="s">
        <v>15</v>
      </c>
      <c r="E261" s="16">
        <v>12</v>
      </c>
      <c r="F261" s="16">
        <v>10</v>
      </c>
      <c r="G261" s="31">
        <f t="shared" si="12"/>
        <v>120</v>
      </c>
      <c r="H261" s="54" t="s">
        <v>16</v>
      </c>
      <c r="I261" s="7">
        <v>12</v>
      </c>
      <c r="J261" s="7">
        <f t="shared" si="13"/>
        <v>1440</v>
      </c>
      <c r="L261" s="7" t="s">
        <v>43</v>
      </c>
      <c r="M261" s="7" t="s">
        <v>17</v>
      </c>
    </row>
    <row r="262" s="7" customFormat="1" spans="1:13">
      <c r="A262" s="45" t="s">
        <v>195</v>
      </c>
      <c r="B262" s="36">
        <v>46137</v>
      </c>
      <c r="C262" s="57" t="s">
        <v>196</v>
      </c>
      <c r="D262" s="7" t="s">
        <v>33</v>
      </c>
      <c r="E262" s="16">
        <v>12</v>
      </c>
      <c r="F262" s="16">
        <v>10</v>
      </c>
      <c r="G262" s="31">
        <f t="shared" si="12"/>
        <v>120</v>
      </c>
      <c r="H262" s="54" t="s">
        <v>16</v>
      </c>
      <c r="I262" s="7">
        <v>15</v>
      </c>
      <c r="J262" s="7">
        <f t="shared" si="13"/>
        <v>1800</v>
      </c>
      <c r="L262" s="7" t="s">
        <v>43</v>
      </c>
      <c r="M262" s="7" t="s">
        <v>17</v>
      </c>
    </row>
    <row r="263" s="7" customFormat="1" spans="1:13">
      <c r="A263" s="45" t="s">
        <v>195</v>
      </c>
      <c r="B263" s="36">
        <v>46137</v>
      </c>
      <c r="C263" s="57" t="s">
        <v>196</v>
      </c>
      <c r="D263" s="7" t="s">
        <v>39</v>
      </c>
      <c r="E263" s="16">
        <v>12</v>
      </c>
      <c r="F263" s="16">
        <v>5</v>
      </c>
      <c r="G263" s="31">
        <f t="shared" si="12"/>
        <v>60</v>
      </c>
      <c r="H263" s="54" t="s">
        <v>16</v>
      </c>
      <c r="I263" s="7">
        <v>15</v>
      </c>
      <c r="J263" s="7">
        <f t="shared" si="13"/>
        <v>900</v>
      </c>
      <c r="L263" s="7" t="s">
        <v>43</v>
      </c>
      <c r="M263" s="7" t="s">
        <v>17</v>
      </c>
    </row>
    <row r="264" s="7" customFormat="1" spans="1:13">
      <c r="A264" s="45" t="s">
        <v>195</v>
      </c>
      <c r="B264" s="36">
        <v>46137</v>
      </c>
      <c r="C264" s="57" t="s">
        <v>196</v>
      </c>
      <c r="D264" s="7" t="s">
        <v>40</v>
      </c>
      <c r="E264" s="16">
        <v>12</v>
      </c>
      <c r="F264" s="16">
        <v>5</v>
      </c>
      <c r="G264" s="31">
        <f t="shared" si="12"/>
        <v>60</v>
      </c>
      <c r="H264" s="54" t="s">
        <v>16</v>
      </c>
      <c r="I264" s="7">
        <v>18</v>
      </c>
      <c r="J264" s="7">
        <f t="shared" si="13"/>
        <v>1080</v>
      </c>
      <c r="L264" s="7" t="s">
        <v>43</v>
      </c>
      <c r="M264" s="7" t="s">
        <v>17</v>
      </c>
    </row>
    <row r="265" s="7" customFormat="1" spans="1:13">
      <c r="A265" s="38" t="s">
        <v>197</v>
      </c>
      <c r="B265" s="36">
        <v>46137</v>
      </c>
      <c r="C265" s="33" t="s">
        <v>198</v>
      </c>
      <c r="D265" s="7" t="s">
        <v>53</v>
      </c>
      <c r="E265" s="16">
        <v>12</v>
      </c>
      <c r="F265" s="16">
        <v>5</v>
      </c>
      <c r="G265" s="31">
        <f t="shared" si="12"/>
        <v>60</v>
      </c>
      <c r="H265" s="54" t="s">
        <v>16</v>
      </c>
      <c r="I265" s="7">
        <v>13.5</v>
      </c>
      <c r="J265" s="7">
        <f t="shared" si="13"/>
        <v>810</v>
      </c>
      <c r="L265" s="7" t="s">
        <v>43</v>
      </c>
      <c r="M265" s="7" t="s">
        <v>17</v>
      </c>
    </row>
    <row r="266" s="7" customFormat="1" ht="47" customHeight="1" spans="1:13">
      <c r="A266" s="45" t="s">
        <v>199</v>
      </c>
      <c r="B266" s="36">
        <v>46137</v>
      </c>
      <c r="C266" s="46" t="s">
        <v>200</v>
      </c>
      <c r="D266" s="16" t="s">
        <v>15</v>
      </c>
      <c r="E266" s="16">
        <v>12</v>
      </c>
      <c r="F266" s="16">
        <v>3</v>
      </c>
      <c r="G266" s="31">
        <f t="shared" si="12"/>
        <v>36</v>
      </c>
      <c r="H266" s="54" t="s">
        <v>16</v>
      </c>
      <c r="I266" s="7">
        <v>12</v>
      </c>
      <c r="J266" s="7">
        <f t="shared" si="13"/>
        <v>432</v>
      </c>
      <c r="L266" s="7" t="s">
        <v>43</v>
      </c>
      <c r="M266" s="7" t="s">
        <v>17</v>
      </c>
    </row>
    <row r="267" s="7" customFormat="1" spans="1:13">
      <c r="A267" s="45" t="s">
        <v>199</v>
      </c>
      <c r="B267" s="36">
        <v>46137</v>
      </c>
      <c r="C267" s="46" t="s">
        <v>200</v>
      </c>
      <c r="D267" s="7" t="s">
        <v>34</v>
      </c>
      <c r="E267" s="16">
        <v>12</v>
      </c>
      <c r="F267" s="16">
        <v>3</v>
      </c>
      <c r="G267" s="31">
        <f t="shared" si="12"/>
        <v>36</v>
      </c>
      <c r="H267" s="54" t="s">
        <v>16</v>
      </c>
      <c r="I267" s="7">
        <v>10</v>
      </c>
      <c r="J267" s="7">
        <f t="shared" si="13"/>
        <v>360</v>
      </c>
      <c r="L267" s="7" t="s">
        <v>43</v>
      </c>
      <c r="M267" s="7" t="s">
        <v>17</v>
      </c>
    </row>
    <row r="268" s="7" customFormat="1" spans="1:13">
      <c r="A268" s="45" t="s">
        <v>199</v>
      </c>
      <c r="B268" s="36">
        <v>46137</v>
      </c>
      <c r="C268" s="46" t="s">
        <v>200</v>
      </c>
      <c r="D268" s="7" t="s">
        <v>33</v>
      </c>
      <c r="E268" s="16">
        <v>12</v>
      </c>
      <c r="F268" s="16">
        <v>3</v>
      </c>
      <c r="G268" s="31">
        <f t="shared" si="12"/>
        <v>36</v>
      </c>
      <c r="H268" s="54" t="s">
        <v>16</v>
      </c>
      <c r="I268" s="7">
        <v>15</v>
      </c>
      <c r="J268" s="7">
        <f t="shared" si="13"/>
        <v>540</v>
      </c>
      <c r="L268" s="7" t="s">
        <v>43</v>
      </c>
      <c r="M268" s="7" t="s">
        <v>17</v>
      </c>
    </row>
    <row r="269" s="7" customFormat="1" spans="1:13">
      <c r="A269" s="45" t="s">
        <v>199</v>
      </c>
      <c r="B269" s="36">
        <v>46137</v>
      </c>
      <c r="C269" s="46" t="s">
        <v>200</v>
      </c>
      <c r="D269" s="7" t="s">
        <v>40</v>
      </c>
      <c r="E269" s="16">
        <v>12</v>
      </c>
      <c r="F269" s="16">
        <v>5</v>
      </c>
      <c r="G269" s="31">
        <f t="shared" si="12"/>
        <v>60</v>
      </c>
      <c r="H269" s="54" t="s">
        <v>16</v>
      </c>
      <c r="I269" s="7">
        <v>18</v>
      </c>
      <c r="J269" s="7">
        <f t="shared" si="13"/>
        <v>1080</v>
      </c>
      <c r="L269" s="7" t="s">
        <v>43</v>
      </c>
      <c r="M269" s="7" t="s">
        <v>17</v>
      </c>
    </row>
    <row r="270" s="7" customFormat="1" spans="1:13">
      <c r="A270" s="45" t="s">
        <v>199</v>
      </c>
      <c r="B270" s="36">
        <v>46137</v>
      </c>
      <c r="C270" s="46" t="s">
        <v>200</v>
      </c>
      <c r="D270" s="7" t="s">
        <v>39</v>
      </c>
      <c r="E270" s="16">
        <v>12</v>
      </c>
      <c r="F270" s="16">
        <v>5</v>
      </c>
      <c r="G270" s="31">
        <f t="shared" si="12"/>
        <v>60</v>
      </c>
      <c r="H270" s="54" t="s">
        <v>16</v>
      </c>
      <c r="I270" s="7">
        <v>15</v>
      </c>
      <c r="J270" s="7">
        <f t="shared" si="13"/>
        <v>900</v>
      </c>
      <c r="L270" s="7" t="s">
        <v>43</v>
      </c>
      <c r="M270" s="7" t="s">
        <v>17</v>
      </c>
    </row>
    <row r="271" s="7" customFormat="1" spans="1:13">
      <c r="A271" s="53" t="s">
        <v>201</v>
      </c>
      <c r="B271" s="36">
        <v>46137</v>
      </c>
      <c r="C271" s="33" t="s">
        <v>75</v>
      </c>
      <c r="D271" s="16" t="s">
        <v>15</v>
      </c>
      <c r="E271" s="16">
        <v>12</v>
      </c>
      <c r="F271" s="16">
        <v>150</v>
      </c>
      <c r="G271" s="31">
        <f t="shared" si="12"/>
        <v>1800</v>
      </c>
      <c r="H271" s="54" t="s">
        <v>16</v>
      </c>
      <c r="I271" s="7">
        <v>12</v>
      </c>
      <c r="J271" s="7">
        <f t="shared" si="13"/>
        <v>21600</v>
      </c>
      <c r="L271" s="7" t="s">
        <v>43</v>
      </c>
      <c r="M271" s="7" t="s">
        <v>17</v>
      </c>
    </row>
    <row r="272" s="7" customFormat="1" spans="1:13">
      <c r="A272" s="53" t="s">
        <v>201</v>
      </c>
      <c r="B272" s="36">
        <v>46137</v>
      </c>
      <c r="C272" s="33" t="s">
        <v>75</v>
      </c>
      <c r="D272" s="7" t="s">
        <v>50</v>
      </c>
      <c r="E272" s="16">
        <v>12</v>
      </c>
      <c r="F272" s="16">
        <v>10</v>
      </c>
      <c r="G272" s="31">
        <f t="shared" si="12"/>
        <v>120</v>
      </c>
      <c r="H272" s="54" t="s">
        <v>16</v>
      </c>
      <c r="I272" s="7">
        <v>17.5</v>
      </c>
      <c r="J272" s="7">
        <f t="shared" si="13"/>
        <v>2100</v>
      </c>
      <c r="L272" s="7" t="s">
        <v>43</v>
      </c>
      <c r="M272" s="7" t="s">
        <v>17</v>
      </c>
    </row>
    <row r="273" s="7" customFormat="1" spans="1:14">
      <c r="A273" s="38" t="s">
        <v>202</v>
      </c>
      <c r="B273" s="36">
        <v>46138</v>
      </c>
      <c r="C273" s="33" t="s">
        <v>52</v>
      </c>
      <c r="D273" s="16" t="s">
        <v>15</v>
      </c>
      <c r="E273" s="16">
        <v>12</v>
      </c>
      <c r="F273" s="16">
        <v>15</v>
      </c>
      <c r="G273" s="31">
        <f t="shared" si="12"/>
        <v>180</v>
      </c>
      <c r="H273" s="54" t="s">
        <v>16</v>
      </c>
      <c r="I273" s="7">
        <v>12.5</v>
      </c>
      <c r="J273" s="7">
        <f t="shared" si="13"/>
        <v>2250</v>
      </c>
      <c r="L273" s="7" t="s">
        <v>43</v>
      </c>
      <c r="M273" s="7" t="s">
        <v>17</v>
      </c>
      <c r="N273" s="52" t="s">
        <v>148</v>
      </c>
    </row>
    <row r="274" s="7" customFormat="1" spans="1:14">
      <c r="A274" s="38" t="s">
        <v>202</v>
      </c>
      <c r="B274" s="36">
        <v>46138</v>
      </c>
      <c r="C274" s="33" t="s">
        <v>52</v>
      </c>
      <c r="D274" s="7" t="s">
        <v>33</v>
      </c>
      <c r="E274" s="16">
        <v>12</v>
      </c>
      <c r="F274" s="16">
        <v>15</v>
      </c>
      <c r="G274" s="31">
        <f t="shared" si="12"/>
        <v>180</v>
      </c>
      <c r="H274" s="54" t="s">
        <v>16</v>
      </c>
      <c r="I274" s="7">
        <v>16</v>
      </c>
      <c r="J274" s="7">
        <f t="shared" si="13"/>
        <v>2880</v>
      </c>
      <c r="L274" s="7" t="s">
        <v>43</v>
      </c>
      <c r="M274" s="7" t="s">
        <v>17</v>
      </c>
      <c r="N274" s="52" t="s">
        <v>148</v>
      </c>
    </row>
    <row r="275" s="7" customFormat="1" spans="1:14">
      <c r="A275" s="53" t="s">
        <v>203</v>
      </c>
      <c r="B275" s="36">
        <v>46138</v>
      </c>
      <c r="C275" s="58" t="s">
        <v>73</v>
      </c>
      <c r="D275" s="7" t="s">
        <v>33</v>
      </c>
      <c r="E275" s="16"/>
      <c r="F275" s="16"/>
      <c r="G275" s="54">
        <v>100</v>
      </c>
      <c r="H275" s="54" t="s">
        <v>16</v>
      </c>
      <c r="I275" s="7">
        <v>15.8</v>
      </c>
      <c r="J275" s="7">
        <f t="shared" si="13"/>
        <v>1580</v>
      </c>
      <c r="L275" s="7" t="s">
        <v>43</v>
      </c>
      <c r="M275" s="7" t="s">
        <v>17</v>
      </c>
    </row>
    <row r="276" s="7" customFormat="1" spans="1:14">
      <c r="A276" s="59" t="s">
        <v>204</v>
      </c>
      <c r="B276" s="36">
        <v>46139</v>
      </c>
      <c r="C276" s="60" t="s">
        <v>52</v>
      </c>
      <c r="D276" s="16" t="s">
        <v>15</v>
      </c>
      <c r="E276" s="16">
        <v>12</v>
      </c>
      <c r="F276" s="16">
        <v>3</v>
      </c>
      <c r="G276" s="31">
        <f t="shared" ref="G276:G292" si="14">F276*E276</f>
        <v>36</v>
      </c>
      <c r="H276" s="54" t="s">
        <v>16</v>
      </c>
      <c r="I276" s="7">
        <v>12.5</v>
      </c>
      <c r="J276" s="7">
        <f t="shared" si="13"/>
        <v>450</v>
      </c>
      <c r="L276" s="7" t="s">
        <v>43</v>
      </c>
      <c r="M276" s="7" t="s">
        <v>17</v>
      </c>
      <c r="N276" s="52" t="s">
        <v>148</v>
      </c>
    </row>
    <row r="277" s="7" customFormat="1" spans="1:14">
      <c r="A277" s="59" t="s">
        <v>204</v>
      </c>
      <c r="B277" s="36">
        <v>46139</v>
      </c>
      <c r="C277" s="60" t="s">
        <v>52</v>
      </c>
      <c r="D277" s="7" t="s">
        <v>40</v>
      </c>
      <c r="E277" s="16">
        <v>12</v>
      </c>
      <c r="F277" s="16">
        <v>2</v>
      </c>
      <c r="G277" s="31">
        <f t="shared" si="14"/>
        <v>24</v>
      </c>
      <c r="H277" s="54" t="s">
        <v>16</v>
      </c>
      <c r="I277" s="7">
        <v>20</v>
      </c>
      <c r="J277" s="7">
        <f t="shared" si="13"/>
        <v>480</v>
      </c>
      <c r="L277" s="7" t="s">
        <v>43</v>
      </c>
      <c r="M277" s="7" t="s">
        <v>17</v>
      </c>
      <c r="N277" s="52" t="s">
        <v>148</v>
      </c>
    </row>
    <row r="278" s="7" customFormat="1" spans="1:14">
      <c r="A278" s="59" t="s">
        <v>205</v>
      </c>
      <c r="B278" s="36">
        <v>46139</v>
      </c>
      <c r="C278" s="60" t="s">
        <v>66</v>
      </c>
      <c r="D278" s="7" t="s">
        <v>33</v>
      </c>
      <c r="E278" s="16">
        <v>12</v>
      </c>
      <c r="F278" s="16">
        <v>30</v>
      </c>
      <c r="G278" s="31">
        <f t="shared" si="14"/>
        <v>360</v>
      </c>
      <c r="H278" s="54" t="s">
        <v>16</v>
      </c>
      <c r="I278" s="7">
        <v>15</v>
      </c>
      <c r="J278" s="7">
        <f t="shared" si="13"/>
        <v>5400</v>
      </c>
      <c r="L278" s="7" t="s">
        <v>43</v>
      </c>
      <c r="M278" s="7" t="s">
        <v>17</v>
      </c>
    </row>
    <row r="279" s="7" customFormat="1" spans="1:14">
      <c r="A279" s="61" t="s">
        <v>206</v>
      </c>
      <c r="B279" s="36">
        <v>46140</v>
      </c>
      <c r="C279" s="62" t="s">
        <v>75</v>
      </c>
      <c r="D279" s="16" t="s">
        <v>15</v>
      </c>
      <c r="E279" s="16">
        <v>12</v>
      </c>
      <c r="F279" s="16">
        <v>100</v>
      </c>
      <c r="G279" s="31">
        <f t="shared" si="14"/>
        <v>1200</v>
      </c>
      <c r="H279" s="54" t="s">
        <v>16</v>
      </c>
      <c r="I279" s="7">
        <v>12</v>
      </c>
      <c r="J279" s="7">
        <f t="shared" si="13"/>
        <v>14400</v>
      </c>
      <c r="L279" s="7" t="s">
        <v>43</v>
      </c>
      <c r="M279" s="7" t="s">
        <v>17</v>
      </c>
    </row>
    <row r="280" s="7" customFormat="1" ht="33" customHeight="1" spans="1:14">
      <c r="A280" s="63" t="s">
        <v>191</v>
      </c>
      <c r="B280" s="55">
        <v>46141</v>
      </c>
      <c r="C280" s="26" t="s">
        <v>192</v>
      </c>
      <c r="D280" s="7" t="s">
        <v>33</v>
      </c>
      <c r="E280" s="26">
        <v>12</v>
      </c>
      <c r="F280" s="26">
        <v>100</v>
      </c>
      <c r="G280" s="31">
        <f t="shared" si="14"/>
        <v>1200</v>
      </c>
      <c r="H280" s="28" t="s">
        <v>16</v>
      </c>
      <c r="I280" s="7">
        <v>15</v>
      </c>
      <c r="J280" s="7">
        <f t="shared" si="13"/>
        <v>18000</v>
      </c>
      <c r="L280" s="7" t="s">
        <v>43</v>
      </c>
      <c r="M280" s="7" t="s">
        <v>17</v>
      </c>
    </row>
    <row r="281" s="7" customFormat="1" spans="1:14">
      <c r="A281" s="64" t="s">
        <v>191</v>
      </c>
      <c r="B281" s="55">
        <v>46141</v>
      </c>
      <c r="C281" s="35" t="s">
        <v>192</v>
      </c>
      <c r="D281" s="16" t="s">
        <v>15</v>
      </c>
      <c r="E281" s="26">
        <v>12</v>
      </c>
      <c r="F281" s="26">
        <v>225</v>
      </c>
      <c r="G281" s="31">
        <f t="shared" si="14"/>
        <v>2700</v>
      </c>
      <c r="H281" s="28" t="s">
        <v>16</v>
      </c>
      <c r="I281" s="7">
        <v>12</v>
      </c>
      <c r="J281" s="7">
        <f t="shared" si="13"/>
        <v>32400</v>
      </c>
      <c r="L281" s="7" t="s">
        <v>43</v>
      </c>
      <c r="M281" s="7" t="s">
        <v>17</v>
      </c>
    </row>
    <row r="282" s="7" customFormat="1" spans="1:14">
      <c r="A282" s="35" t="s">
        <v>191</v>
      </c>
      <c r="B282" s="55">
        <v>46141</v>
      </c>
      <c r="C282" s="26" t="s">
        <v>192</v>
      </c>
      <c r="D282" s="16" t="s">
        <v>15</v>
      </c>
      <c r="E282" s="26">
        <v>12</v>
      </c>
      <c r="F282" s="26">
        <v>145</v>
      </c>
      <c r="G282" s="31">
        <f t="shared" si="14"/>
        <v>1740</v>
      </c>
      <c r="H282" s="28" t="s">
        <v>16</v>
      </c>
      <c r="I282" s="7">
        <v>12</v>
      </c>
      <c r="J282" s="7">
        <f t="shared" si="13"/>
        <v>20880</v>
      </c>
      <c r="L282" s="7" t="s">
        <v>43</v>
      </c>
      <c r="M282" s="7" t="s">
        <v>17</v>
      </c>
    </row>
    <row r="283" s="7" customFormat="1" hidden="1" spans="1:14">
      <c r="A283" s="45" t="s">
        <v>19</v>
      </c>
      <c r="B283" s="36">
        <v>46141</v>
      </c>
      <c r="C283" s="33" t="s">
        <v>20</v>
      </c>
      <c r="D283" s="29" t="s">
        <v>32</v>
      </c>
      <c r="E283" s="16">
        <v>12</v>
      </c>
      <c r="F283" s="16">
        <v>188</v>
      </c>
      <c r="G283" s="31">
        <f t="shared" si="14"/>
        <v>2256</v>
      </c>
      <c r="H283" s="28" t="s">
        <v>16</v>
      </c>
      <c r="I283" s="7">
        <v>16.74</v>
      </c>
      <c r="J283" s="7">
        <f t="shared" si="13"/>
        <v>37765.44</v>
      </c>
      <c r="L283" s="7" t="s">
        <v>17</v>
      </c>
      <c r="M283" s="7" t="s">
        <v>17</v>
      </c>
      <c r="N283" s="7" t="s">
        <v>207</v>
      </c>
    </row>
    <row r="284" s="7" customFormat="1" hidden="1" spans="1:14">
      <c r="A284" s="45" t="s">
        <v>19</v>
      </c>
      <c r="B284" s="36">
        <v>46141</v>
      </c>
      <c r="C284" s="33" t="s">
        <v>20</v>
      </c>
      <c r="D284" s="7" t="s">
        <v>39</v>
      </c>
      <c r="E284" s="16">
        <v>12</v>
      </c>
      <c r="F284" s="16">
        <v>150</v>
      </c>
      <c r="G284" s="31">
        <f t="shared" si="14"/>
        <v>1800</v>
      </c>
      <c r="H284" s="28" t="s">
        <v>16</v>
      </c>
      <c r="I284" s="7">
        <v>16.524</v>
      </c>
      <c r="J284" s="7">
        <f t="shared" si="13"/>
        <v>29743.2</v>
      </c>
      <c r="L284" s="7" t="s">
        <v>17</v>
      </c>
      <c r="M284" s="7" t="s">
        <v>17</v>
      </c>
    </row>
    <row r="285" s="7" customFormat="1" hidden="1" spans="1:14">
      <c r="A285" s="45" t="s">
        <v>19</v>
      </c>
      <c r="B285" s="36">
        <v>46141</v>
      </c>
      <c r="C285" s="33" t="s">
        <v>20</v>
      </c>
      <c r="D285" s="7" t="s">
        <v>40</v>
      </c>
      <c r="E285" s="16">
        <v>12</v>
      </c>
      <c r="F285" s="16">
        <v>180</v>
      </c>
      <c r="G285" s="31">
        <f t="shared" si="14"/>
        <v>2160</v>
      </c>
      <c r="H285" s="28" t="s">
        <v>16</v>
      </c>
      <c r="I285" s="7">
        <v>20.196</v>
      </c>
      <c r="J285" s="7">
        <f t="shared" si="13"/>
        <v>43623.36</v>
      </c>
      <c r="L285" s="7" t="s">
        <v>17</v>
      </c>
      <c r="M285" s="7" t="s">
        <v>17</v>
      </c>
    </row>
    <row r="286" s="7" customFormat="1" hidden="1" spans="1:14">
      <c r="A286" s="45" t="s">
        <v>19</v>
      </c>
      <c r="B286" s="36">
        <v>46141</v>
      </c>
      <c r="C286" s="33" t="s">
        <v>20</v>
      </c>
      <c r="D286" s="16" t="s">
        <v>15</v>
      </c>
      <c r="E286" s="16">
        <v>12</v>
      </c>
      <c r="F286" s="16">
        <v>3</v>
      </c>
      <c r="G286" s="31">
        <f t="shared" si="14"/>
        <v>36</v>
      </c>
      <c r="H286" s="28" t="s">
        <v>16</v>
      </c>
      <c r="I286" s="7">
        <v>13.5</v>
      </c>
      <c r="J286" s="7">
        <f t="shared" si="13"/>
        <v>486</v>
      </c>
      <c r="L286" s="7" t="s">
        <v>17</v>
      </c>
      <c r="M286" s="7" t="s">
        <v>17</v>
      </c>
    </row>
    <row r="287" s="7" customFormat="1" spans="1:14">
      <c r="A287" s="38" t="s">
        <v>208</v>
      </c>
      <c r="B287" s="36">
        <v>46141</v>
      </c>
      <c r="C287" s="33" t="s">
        <v>209</v>
      </c>
      <c r="D287" s="16" t="s">
        <v>15</v>
      </c>
      <c r="E287" s="16">
        <v>12</v>
      </c>
      <c r="F287" s="16">
        <v>100</v>
      </c>
      <c r="G287" s="31">
        <f t="shared" si="14"/>
        <v>1200</v>
      </c>
      <c r="H287" s="54" t="s">
        <v>16</v>
      </c>
      <c r="I287" s="7">
        <v>12</v>
      </c>
      <c r="J287" s="7">
        <f t="shared" si="13"/>
        <v>14400</v>
      </c>
      <c r="L287" s="7" t="s">
        <v>43</v>
      </c>
      <c r="M287" s="7" t="s">
        <v>17</v>
      </c>
    </row>
    <row r="288" s="7" customFormat="1" spans="1:14">
      <c r="A288" s="38" t="s">
        <v>208</v>
      </c>
      <c r="B288" s="36">
        <v>46141</v>
      </c>
      <c r="C288" s="33" t="s">
        <v>209</v>
      </c>
      <c r="D288" s="7" t="s">
        <v>33</v>
      </c>
      <c r="E288" s="16">
        <v>12</v>
      </c>
      <c r="F288" s="16">
        <v>100</v>
      </c>
      <c r="G288" s="31">
        <f t="shared" si="14"/>
        <v>1200</v>
      </c>
      <c r="H288" s="54" t="s">
        <v>16</v>
      </c>
      <c r="I288" s="7">
        <v>15</v>
      </c>
      <c r="J288" s="7">
        <f t="shared" si="13"/>
        <v>18000</v>
      </c>
      <c r="L288" s="7" t="s">
        <v>43</v>
      </c>
      <c r="M288" s="7" t="s">
        <v>17</v>
      </c>
    </row>
    <row r="289" s="7" customFormat="1" spans="1:14">
      <c r="A289" s="38" t="s">
        <v>208</v>
      </c>
      <c r="B289" s="36">
        <v>46141</v>
      </c>
      <c r="C289" s="22" t="s">
        <v>209</v>
      </c>
      <c r="D289" s="7" t="s">
        <v>44</v>
      </c>
      <c r="E289" s="7">
        <v>12</v>
      </c>
      <c r="F289" s="7">
        <v>100</v>
      </c>
      <c r="G289" s="31">
        <f t="shared" si="14"/>
        <v>1200</v>
      </c>
      <c r="H289" s="42" t="s">
        <v>16</v>
      </c>
      <c r="I289" s="7">
        <v>12</v>
      </c>
      <c r="J289" s="7">
        <f t="shared" si="13"/>
        <v>14400</v>
      </c>
      <c r="L289" s="7" t="s">
        <v>43</v>
      </c>
      <c r="M289" s="7" t="s">
        <v>17</v>
      </c>
    </row>
    <row r="290" s="7" customFormat="1" spans="1:14">
      <c r="A290" s="38" t="s">
        <v>208</v>
      </c>
      <c r="B290" s="36">
        <v>46141</v>
      </c>
      <c r="C290" s="33" t="s">
        <v>209</v>
      </c>
      <c r="D290" s="7" t="s">
        <v>39</v>
      </c>
      <c r="E290" s="16">
        <v>12</v>
      </c>
      <c r="F290" s="16">
        <v>100</v>
      </c>
      <c r="G290" s="31">
        <f t="shared" si="14"/>
        <v>1200</v>
      </c>
      <c r="H290" s="54" t="s">
        <v>16</v>
      </c>
      <c r="I290" s="7">
        <v>15</v>
      </c>
      <c r="J290" s="7">
        <f t="shared" si="13"/>
        <v>18000</v>
      </c>
      <c r="L290" s="7" t="s">
        <v>43</v>
      </c>
      <c r="M290" s="7" t="s">
        <v>17</v>
      </c>
    </row>
    <row r="291" s="7" customFormat="1" spans="1:14">
      <c r="A291" s="38" t="s">
        <v>208</v>
      </c>
      <c r="B291" s="36">
        <v>46141</v>
      </c>
      <c r="C291" s="33" t="s">
        <v>209</v>
      </c>
      <c r="D291" s="7" t="s">
        <v>34</v>
      </c>
      <c r="E291" s="16">
        <v>12</v>
      </c>
      <c r="F291" s="16">
        <v>50</v>
      </c>
      <c r="G291" s="31">
        <f t="shared" si="14"/>
        <v>600</v>
      </c>
      <c r="H291" s="54" t="s">
        <v>16</v>
      </c>
      <c r="I291" s="7">
        <v>10</v>
      </c>
      <c r="J291" s="7">
        <f t="shared" si="13"/>
        <v>6000</v>
      </c>
      <c r="L291" s="7" t="s">
        <v>43</v>
      </c>
      <c r="M291" s="7" t="s">
        <v>17</v>
      </c>
    </row>
    <row r="292" s="7" customFormat="1" spans="1:14">
      <c r="A292" s="38" t="s">
        <v>208</v>
      </c>
      <c r="B292" s="36">
        <v>46141</v>
      </c>
      <c r="C292" s="33" t="s">
        <v>209</v>
      </c>
      <c r="D292" s="7" t="s">
        <v>34</v>
      </c>
      <c r="E292" s="16">
        <v>12</v>
      </c>
      <c r="F292" s="16">
        <v>50</v>
      </c>
      <c r="G292" s="31">
        <f t="shared" si="14"/>
        <v>600</v>
      </c>
      <c r="H292" s="54" t="s">
        <v>16</v>
      </c>
      <c r="I292" s="7">
        <v>10</v>
      </c>
      <c r="J292" s="7">
        <f t="shared" si="13"/>
        <v>6000</v>
      </c>
      <c r="L292" s="7" t="s">
        <v>43</v>
      </c>
      <c r="M292" s="7" t="s">
        <v>17</v>
      </c>
    </row>
    <row r="293" s="8" customFormat="1" spans="1:14">
      <c r="A293" s="65" t="s">
        <v>210</v>
      </c>
      <c r="B293" s="66">
        <v>46146</v>
      </c>
      <c r="C293" s="67" t="s">
        <v>211</v>
      </c>
      <c r="D293" s="7" t="s">
        <v>69</v>
      </c>
      <c r="E293" s="10">
        <v>12</v>
      </c>
      <c r="F293" s="10">
        <v>2</v>
      </c>
      <c r="G293" s="68">
        <f t="shared" ref="G293:G356" si="15">E293*F293</f>
        <v>24</v>
      </c>
      <c r="H293" s="69" t="s">
        <v>16</v>
      </c>
      <c r="I293" s="52">
        <v>17</v>
      </c>
      <c r="J293" s="52">
        <f t="shared" si="13"/>
        <v>408</v>
      </c>
      <c r="K293" s="52"/>
      <c r="L293" s="7" t="s">
        <v>43</v>
      </c>
      <c r="M293" s="52" t="s">
        <v>17</v>
      </c>
      <c r="N293" s="52"/>
    </row>
    <row r="294" s="8" customFormat="1" spans="1:14">
      <c r="A294" s="70" t="s">
        <v>212</v>
      </c>
      <c r="B294" s="71">
        <v>46148</v>
      </c>
      <c r="C294" s="70" t="s">
        <v>213</v>
      </c>
      <c r="D294" s="16" t="s">
        <v>15</v>
      </c>
      <c r="E294" s="72">
        <v>12</v>
      </c>
      <c r="F294" s="72">
        <v>40</v>
      </c>
      <c r="G294" s="68">
        <f t="shared" si="15"/>
        <v>480</v>
      </c>
      <c r="H294" s="73" t="s">
        <v>16</v>
      </c>
      <c r="I294" s="52">
        <v>11.8</v>
      </c>
      <c r="J294" s="52">
        <f t="shared" si="13"/>
        <v>5664</v>
      </c>
      <c r="K294" s="52"/>
      <c r="L294" s="7" t="s">
        <v>43</v>
      </c>
      <c r="M294" s="52" t="s">
        <v>17</v>
      </c>
      <c r="N294" s="52"/>
    </row>
    <row r="295" s="8" customFormat="1" spans="1:14">
      <c r="A295" s="70" t="s">
        <v>212</v>
      </c>
      <c r="B295" s="71">
        <v>46148</v>
      </c>
      <c r="C295" s="70" t="s">
        <v>213</v>
      </c>
      <c r="D295" s="7" t="s">
        <v>39</v>
      </c>
      <c r="E295" s="72">
        <v>12</v>
      </c>
      <c r="F295" s="72">
        <v>20</v>
      </c>
      <c r="G295" s="68">
        <f t="shared" si="15"/>
        <v>240</v>
      </c>
      <c r="H295" s="73" t="s">
        <v>16</v>
      </c>
      <c r="I295" s="52">
        <v>14.8</v>
      </c>
      <c r="J295" s="52">
        <f t="shared" si="13"/>
        <v>3552</v>
      </c>
      <c r="K295" s="52"/>
      <c r="L295" s="7" t="s">
        <v>43</v>
      </c>
      <c r="M295" s="52" t="s">
        <v>17</v>
      </c>
      <c r="N295" s="52"/>
    </row>
    <row r="296" s="8" customFormat="1" spans="1:14">
      <c r="A296" s="70" t="s">
        <v>212</v>
      </c>
      <c r="B296" s="71">
        <v>46148</v>
      </c>
      <c r="C296" s="70" t="s">
        <v>213</v>
      </c>
      <c r="D296" s="7" t="s">
        <v>40</v>
      </c>
      <c r="E296" s="72">
        <v>12</v>
      </c>
      <c r="F296" s="72">
        <v>10</v>
      </c>
      <c r="G296" s="68">
        <f t="shared" si="15"/>
        <v>120</v>
      </c>
      <c r="H296" s="73" t="s">
        <v>16</v>
      </c>
      <c r="I296" s="52">
        <v>17.5</v>
      </c>
      <c r="J296" s="52">
        <f t="shared" si="13"/>
        <v>2100</v>
      </c>
      <c r="K296" s="52"/>
      <c r="L296" s="7" t="s">
        <v>43</v>
      </c>
      <c r="M296" s="52" t="s">
        <v>17</v>
      </c>
      <c r="N296" s="52"/>
    </row>
    <row r="297" s="8" customFormat="1" spans="1:14">
      <c r="A297" s="74" t="s">
        <v>193</v>
      </c>
      <c r="B297" s="66">
        <v>46148</v>
      </c>
      <c r="C297" s="75" t="s">
        <v>194</v>
      </c>
      <c r="D297" s="16" t="s">
        <v>15</v>
      </c>
      <c r="E297" s="10">
        <v>12</v>
      </c>
      <c r="F297" s="10">
        <v>50</v>
      </c>
      <c r="G297" s="68">
        <f t="shared" si="15"/>
        <v>600</v>
      </c>
      <c r="H297" s="69" t="s">
        <v>16</v>
      </c>
      <c r="I297" s="52">
        <v>11.8</v>
      </c>
      <c r="J297" s="52">
        <f t="shared" si="13"/>
        <v>7080</v>
      </c>
      <c r="K297" s="52"/>
      <c r="L297" s="7" t="s">
        <v>43</v>
      </c>
      <c r="M297" s="52" t="s">
        <v>17</v>
      </c>
      <c r="N297" s="52"/>
    </row>
    <row r="298" s="8" customFormat="1" spans="1:14">
      <c r="A298" s="65" t="s">
        <v>214</v>
      </c>
      <c r="B298" s="66">
        <v>46148</v>
      </c>
      <c r="C298" s="67" t="s">
        <v>215</v>
      </c>
      <c r="D298" s="7" t="s">
        <v>44</v>
      </c>
      <c r="E298" s="10">
        <v>12</v>
      </c>
      <c r="F298" s="10">
        <v>2</v>
      </c>
      <c r="G298" s="68">
        <f t="shared" si="15"/>
        <v>24</v>
      </c>
      <c r="H298" s="69" t="s">
        <v>16</v>
      </c>
      <c r="I298" s="52">
        <v>11.8</v>
      </c>
      <c r="J298" s="52">
        <f t="shared" si="13"/>
        <v>283.2</v>
      </c>
      <c r="K298" s="52"/>
      <c r="L298" s="7" t="s">
        <v>43</v>
      </c>
      <c r="M298" s="52" t="s">
        <v>17</v>
      </c>
      <c r="N298" s="52"/>
    </row>
    <row r="299" s="8" customFormat="1" spans="1:14">
      <c r="A299" s="65" t="s">
        <v>214</v>
      </c>
      <c r="B299" s="66">
        <v>46148</v>
      </c>
      <c r="C299" s="67" t="s">
        <v>215</v>
      </c>
      <c r="D299" s="7" t="s">
        <v>39</v>
      </c>
      <c r="E299" s="10">
        <v>12</v>
      </c>
      <c r="F299" s="10">
        <v>2</v>
      </c>
      <c r="G299" s="68">
        <f t="shared" si="15"/>
        <v>24</v>
      </c>
      <c r="H299" s="69" t="s">
        <v>16</v>
      </c>
      <c r="I299" s="52">
        <v>14.8</v>
      </c>
      <c r="J299" s="52">
        <f t="shared" si="13"/>
        <v>355.2</v>
      </c>
      <c r="K299" s="52"/>
      <c r="L299" s="7" t="s">
        <v>43</v>
      </c>
      <c r="M299" s="52" t="s">
        <v>17</v>
      </c>
      <c r="N299" s="52"/>
    </row>
    <row r="300" s="8" customFormat="1" spans="1:14">
      <c r="A300" s="65" t="s">
        <v>214</v>
      </c>
      <c r="B300" s="66">
        <v>46148</v>
      </c>
      <c r="C300" s="67" t="s">
        <v>215</v>
      </c>
      <c r="D300" s="7" t="s">
        <v>40</v>
      </c>
      <c r="E300" s="10">
        <v>12</v>
      </c>
      <c r="F300" s="10">
        <v>2</v>
      </c>
      <c r="G300" s="68">
        <f t="shared" si="15"/>
        <v>24</v>
      </c>
      <c r="H300" s="69" t="s">
        <v>16</v>
      </c>
      <c r="I300" s="52">
        <v>17.5</v>
      </c>
      <c r="J300" s="52">
        <f t="shared" si="13"/>
        <v>420</v>
      </c>
      <c r="K300" s="52"/>
      <c r="L300" s="7" t="s">
        <v>43</v>
      </c>
      <c r="M300" s="52" t="s">
        <v>17</v>
      </c>
      <c r="N300" s="52"/>
    </row>
    <row r="301" s="8" customFormat="1" spans="1:14">
      <c r="A301" s="65" t="s">
        <v>214</v>
      </c>
      <c r="B301" s="66">
        <v>46148</v>
      </c>
      <c r="C301" s="67" t="s">
        <v>215</v>
      </c>
      <c r="D301" s="7" t="s">
        <v>34</v>
      </c>
      <c r="E301" s="10">
        <v>12</v>
      </c>
      <c r="F301" s="10">
        <v>2</v>
      </c>
      <c r="G301" s="68">
        <f t="shared" si="15"/>
        <v>24</v>
      </c>
      <c r="H301" s="69" t="s">
        <v>16</v>
      </c>
      <c r="I301" s="52">
        <v>9.8</v>
      </c>
      <c r="J301" s="52">
        <f t="shared" si="13"/>
        <v>235.2</v>
      </c>
      <c r="K301" s="52"/>
      <c r="L301" s="7" t="s">
        <v>43</v>
      </c>
      <c r="M301" s="52" t="s">
        <v>17</v>
      </c>
      <c r="N301" s="52"/>
    </row>
    <row r="302" s="8" customFormat="1" spans="1:14">
      <c r="A302" s="65" t="s">
        <v>214</v>
      </c>
      <c r="B302" s="66">
        <v>46148</v>
      </c>
      <c r="C302" s="67" t="s">
        <v>215</v>
      </c>
      <c r="D302" s="16" t="s">
        <v>15</v>
      </c>
      <c r="E302" s="10">
        <v>12</v>
      </c>
      <c r="F302" s="10">
        <v>2</v>
      </c>
      <c r="G302" s="68">
        <f t="shared" si="15"/>
        <v>24</v>
      </c>
      <c r="H302" s="69" t="s">
        <v>16</v>
      </c>
      <c r="I302" s="52">
        <v>11.8</v>
      </c>
      <c r="J302" s="52">
        <f t="shared" si="13"/>
        <v>283.2</v>
      </c>
      <c r="K302" s="52"/>
      <c r="L302" s="7" t="s">
        <v>43</v>
      </c>
      <c r="M302" s="52" t="s">
        <v>17</v>
      </c>
      <c r="N302" s="52"/>
    </row>
    <row r="303" s="8" customFormat="1" spans="1:14">
      <c r="A303" s="65" t="s">
        <v>214</v>
      </c>
      <c r="B303" s="66">
        <v>46148</v>
      </c>
      <c r="C303" s="67" t="s">
        <v>215</v>
      </c>
      <c r="D303" s="7" t="s">
        <v>33</v>
      </c>
      <c r="E303" s="10">
        <v>12</v>
      </c>
      <c r="F303" s="10">
        <v>2</v>
      </c>
      <c r="G303" s="68">
        <f t="shared" si="15"/>
        <v>24</v>
      </c>
      <c r="H303" s="69" t="s">
        <v>16</v>
      </c>
      <c r="I303" s="52">
        <v>14.8</v>
      </c>
      <c r="J303" s="52">
        <f t="shared" si="13"/>
        <v>355.2</v>
      </c>
      <c r="K303" s="52"/>
      <c r="L303" s="7" t="s">
        <v>43</v>
      </c>
      <c r="M303" s="52" t="s">
        <v>17</v>
      </c>
      <c r="N303" s="52"/>
    </row>
    <row r="304" s="8" customFormat="1" spans="1:14">
      <c r="A304" s="65" t="s">
        <v>216</v>
      </c>
      <c r="B304" s="66">
        <v>46148</v>
      </c>
      <c r="C304" s="67" t="s">
        <v>217</v>
      </c>
      <c r="D304" s="7" t="s">
        <v>44</v>
      </c>
      <c r="E304" s="10">
        <v>12</v>
      </c>
      <c r="F304" s="10">
        <v>1</v>
      </c>
      <c r="G304" s="68">
        <f t="shared" si="15"/>
        <v>12</v>
      </c>
      <c r="H304" s="69" t="s">
        <v>16</v>
      </c>
      <c r="I304" s="52">
        <v>11.8</v>
      </c>
      <c r="J304" s="52">
        <f t="shared" si="13"/>
        <v>141.6</v>
      </c>
      <c r="K304" s="52"/>
      <c r="L304" s="7" t="s">
        <v>43</v>
      </c>
      <c r="M304" s="52" t="s">
        <v>17</v>
      </c>
      <c r="N304" s="52"/>
    </row>
    <row r="305" s="8" customFormat="1" spans="1:14">
      <c r="A305" s="65" t="s">
        <v>216</v>
      </c>
      <c r="B305" s="66">
        <v>46148</v>
      </c>
      <c r="C305" s="67" t="s">
        <v>217</v>
      </c>
      <c r="D305" s="7" t="s">
        <v>39</v>
      </c>
      <c r="E305" s="10">
        <v>12</v>
      </c>
      <c r="F305" s="10">
        <v>1</v>
      </c>
      <c r="G305" s="68">
        <f t="shared" si="15"/>
        <v>12</v>
      </c>
      <c r="H305" s="69" t="s">
        <v>16</v>
      </c>
      <c r="I305" s="52">
        <v>14.8</v>
      </c>
      <c r="J305" s="52">
        <f t="shared" si="13"/>
        <v>177.6</v>
      </c>
      <c r="K305" s="52"/>
      <c r="L305" s="7" t="s">
        <v>43</v>
      </c>
      <c r="M305" s="52" t="s">
        <v>17</v>
      </c>
      <c r="N305" s="52"/>
    </row>
    <row r="306" s="8" customFormat="1" spans="1:14">
      <c r="A306" s="65" t="s">
        <v>216</v>
      </c>
      <c r="B306" s="66">
        <v>46148</v>
      </c>
      <c r="C306" s="67" t="s">
        <v>217</v>
      </c>
      <c r="D306" s="7" t="s">
        <v>40</v>
      </c>
      <c r="E306" s="10">
        <v>12</v>
      </c>
      <c r="F306" s="10">
        <v>1</v>
      </c>
      <c r="G306" s="68">
        <f t="shared" si="15"/>
        <v>12</v>
      </c>
      <c r="H306" s="69" t="s">
        <v>16</v>
      </c>
      <c r="I306" s="52">
        <v>17.5</v>
      </c>
      <c r="J306" s="52">
        <f t="shared" si="13"/>
        <v>210</v>
      </c>
      <c r="K306" s="52"/>
      <c r="L306" s="7" t="s">
        <v>43</v>
      </c>
      <c r="M306" s="52" t="s">
        <v>17</v>
      </c>
      <c r="N306" s="52"/>
    </row>
    <row r="307" s="8" customFormat="1" spans="1:14">
      <c r="A307" s="65" t="s">
        <v>218</v>
      </c>
      <c r="B307" s="66">
        <v>46148</v>
      </c>
      <c r="C307" s="67" t="s">
        <v>219</v>
      </c>
      <c r="D307" s="7" t="s">
        <v>50</v>
      </c>
      <c r="E307" s="10">
        <v>12</v>
      </c>
      <c r="F307" s="10">
        <v>5</v>
      </c>
      <c r="G307" s="68">
        <f t="shared" si="15"/>
        <v>60</v>
      </c>
      <c r="H307" s="69" t="s">
        <v>16</v>
      </c>
      <c r="I307" s="52">
        <v>17.3</v>
      </c>
      <c r="J307" s="52">
        <f t="shared" si="13"/>
        <v>1038</v>
      </c>
      <c r="K307" s="52"/>
      <c r="L307" s="7" t="s">
        <v>43</v>
      </c>
      <c r="M307" s="52" t="s">
        <v>17</v>
      </c>
      <c r="N307" s="52"/>
    </row>
    <row r="308" s="8" customFormat="1" spans="1:14">
      <c r="A308" s="65" t="s">
        <v>218</v>
      </c>
      <c r="B308" s="66">
        <v>46148</v>
      </c>
      <c r="C308" s="67" t="s">
        <v>219</v>
      </c>
      <c r="D308" s="7" t="s">
        <v>33</v>
      </c>
      <c r="E308" s="10">
        <v>12</v>
      </c>
      <c r="F308" s="10">
        <v>5</v>
      </c>
      <c r="G308" s="68">
        <f t="shared" si="15"/>
        <v>60</v>
      </c>
      <c r="H308" s="69" t="s">
        <v>16</v>
      </c>
      <c r="I308" s="52">
        <v>14.8</v>
      </c>
      <c r="J308" s="52">
        <f t="shared" si="13"/>
        <v>888</v>
      </c>
      <c r="K308" s="52"/>
      <c r="L308" s="7" t="s">
        <v>43</v>
      </c>
      <c r="M308" s="52" t="s">
        <v>17</v>
      </c>
      <c r="N308" s="52"/>
    </row>
    <row r="309" s="8" customFormat="1" spans="1:14">
      <c r="A309" s="65" t="s">
        <v>220</v>
      </c>
      <c r="B309" s="66">
        <v>46148</v>
      </c>
      <c r="C309" s="67" t="s">
        <v>221</v>
      </c>
      <c r="D309" s="7" t="s">
        <v>33</v>
      </c>
      <c r="E309" s="10">
        <v>12</v>
      </c>
      <c r="F309" s="10">
        <v>2</v>
      </c>
      <c r="G309" s="68">
        <f t="shared" si="15"/>
        <v>24</v>
      </c>
      <c r="H309" s="69" t="s">
        <v>16</v>
      </c>
      <c r="I309" s="52">
        <v>14.8</v>
      </c>
      <c r="J309" s="52">
        <f t="shared" si="13"/>
        <v>355.2</v>
      </c>
      <c r="K309" s="52"/>
      <c r="L309" s="7" t="s">
        <v>43</v>
      </c>
      <c r="M309" s="52" t="s">
        <v>17</v>
      </c>
      <c r="N309" s="52"/>
    </row>
    <row r="310" s="8" customFormat="1" spans="1:14">
      <c r="A310" s="65" t="s">
        <v>222</v>
      </c>
      <c r="B310" s="66">
        <v>46149</v>
      </c>
      <c r="C310" s="67" t="s">
        <v>52</v>
      </c>
      <c r="D310" s="16" t="s">
        <v>15</v>
      </c>
      <c r="E310" s="10">
        <v>12</v>
      </c>
      <c r="F310" s="10">
        <v>20</v>
      </c>
      <c r="G310" s="68">
        <f t="shared" si="15"/>
        <v>240</v>
      </c>
      <c r="H310" s="69" t="s">
        <v>16</v>
      </c>
      <c r="I310" s="52">
        <v>12.5</v>
      </c>
      <c r="J310" s="52">
        <f t="shared" ref="J310:J324" si="16">G310*I310</f>
        <v>3000</v>
      </c>
      <c r="K310" s="52"/>
      <c r="L310" s="7" t="s">
        <v>43</v>
      </c>
      <c r="M310" s="52" t="s">
        <v>17</v>
      </c>
      <c r="N310" s="52" t="s">
        <v>148</v>
      </c>
    </row>
    <row r="311" s="8" customFormat="1" spans="1:14">
      <c r="A311" s="65" t="s">
        <v>223</v>
      </c>
      <c r="B311" s="66">
        <v>46149</v>
      </c>
      <c r="C311" s="67" t="s">
        <v>118</v>
      </c>
      <c r="D311" s="7" t="s">
        <v>33</v>
      </c>
      <c r="E311" s="10">
        <v>12</v>
      </c>
      <c r="F311" s="10">
        <v>4</v>
      </c>
      <c r="G311" s="68">
        <f t="shared" si="15"/>
        <v>48</v>
      </c>
      <c r="H311" s="69" t="s">
        <v>16</v>
      </c>
      <c r="I311" s="52">
        <v>16</v>
      </c>
      <c r="J311" s="52">
        <f t="shared" si="16"/>
        <v>768</v>
      </c>
      <c r="K311" s="52"/>
      <c r="L311" s="7" t="s">
        <v>43</v>
      </c>
      <c r="M311" s="7" t="s">
        <v>17</v>
      </c>
      <c r="N311" s="52"/>
    </row>
    <row r="312" s="8" customFormat="1" spans="1:14">
      <c r="A312" s="65" t="s">
        <v>224</v>
      </c>
      <c r="B312" s="66">
        <v>46149</v>
      </c>
      <c r="C312" s="67" t="s">
        <v>52</v>
      </c>
      <c r="D312" s="7" t="s">
        <v>33</v>
      </c>
      <c r="E312" s="10">
        <v>12</v>
      </c>
      <c r="F312" s="10">
        <v>4</v>
      </c>
      <c r="G312" s="68">
        <f t="shared" si="15"/>
        <v>48</v>
      </c>
      <c r="H312" s="69" t="s">
        <v>16</v>
      </c>
      <c r="I312" s="52">
        <v>16</v>
      </c>
      <c r="J312" s="52">
        <f t="shared" si="16"/>
        <v>768</v>
      </c>
      <c r="K312" s="52"/>
      <c r="L312" s="7" t="s">
        <v>43</v>
      </c>
      <c r="M312" s="52" t="s">
        <v>17</v>
      </c>
      <c r="N312" s="52" t="s">
        <v>148</v>
      </c>
    </row>
    <row r="313" s="8" customFormat="1" spans="1:14">
      <c r="A313" s="65" t="s">
        <v>224</v>
      </c>
      <c r="B313" s="66">
        <v>46149</v>
      </c>
      <c r="C313" s="67" t="s">
        <v>52</v>
      </c>
      <c r="D313" s="7" t="s">
        <v>39</v>
      </c>
      <c r="E313" s="10">
        <v>12</v>
      </c>
      <c r="F313" s="10">
        <v>3</v>
      </c>
      <c r="G313" s="68">
        <f t="shared" si="15"/>
        <v>36</v>
      </c>
      <c r="H313" s="69" t="s">
        <v>16</v>
      </c>
      <c r="I313" s="52">
        <v>16</v>
      </c>
      <c r="J313" s="52">
        <f t="shared" si="16"/>
        <v>576</v>
      </c>
      <c r="K313" s="52"/>
      <c r="L313" s="7" t="s">
        <v>43</v>
      </c>
      <c r="M313" s="52" t="s">
        <v>17</v>
      </c>
      <c r="N313" s="52" t="s">
        <v>148</v>
      </c>
    </row>
    <row r="314" s="8" customFormat="1" spans="1:14">
      <c r="A314" s="65" t="s">
        <v>225</v>
      </c>
      <c r="B314" s="66">
        <v>46150</v>
      </c>
      <c r="C314" s="67" t="s">
        <v>135</v>
      </c>
      <c r="D314" s="7" t="s">
        <v>34</v>
      </c>
      <c r="E314" s="10">
        <v>12</v>
      </c>
      <c r="F314" s="10">
        <v>2</v>
      </c>
      <c r="G314" s="68">
        <f t="shared" si="15"/>
        <v>24</v>
      </c>
      <c r="H314" s="69" t="s">
        <v>16</v>
      </c>
      <c r="I314" s="52">
        <v>11</v>
      </c>
      <c r="J314" s="52">
        <f t="shared" si="16"/>
        <v>264</v>
      </c>
      <c r="K314" s="52"/>
      <c r="L314" s="7" t="s">
        <v>43</v>
      </c>
      <c r="M314" s="52" t="s">
        <v>17</v>
      </c>
      <c r="N314" s="52"/>
    </row>
    <row r="315" s="8" customFormat="1" spans="1:14">
      <c r="A315" s="65" t="s">
        <v>225</v>
      </c>
      <c r="B315" s="66">
        <v>46150</v>
      </c>
      <c r="C315" s="67" t="s">
        <v>135</v>
      </c>
      <c r="D315" s="16" t="s">
        <v>15</v>
      </c>
      <c r="E315" s="10">
        <v>12</v>
      </c>
      <c r="F315" s="10">
        <v>2</v>
      </c>
      <c r="G315" s="68">
        <f t="shared" si="15"/>
        <v>24</v>
      </c>
      <c r="H315" s="69" t="s">
        <v>16</v>
      </c>
      <c r="I315" s="52">
        <v>13</v>
      </c>
      <c r="J315" s="52">
        <f t="shared" si="16"/>
        <v>312</v>
      </c>
      <c r="K315" s="52"/>
      <c r="L315" s="7" t="s">
        <v>43</v>
      </c>
      <c r="M315" s="52" t="s">
        <v>17</v>
      </c>
      <c r="N315" s="52"/>
    </row>
    <row r="316" s="8" customFormat="1" spans="1:14">
      <c r="A316" s="65" t="s">
        <v>225</v>
      </c>
      <c r="B316" s="66">
        <v>46150</v>
      </c>
      <c r="C316" s="67" t="s">
        <v>135</v>
      </c>
      <c r="D316" s="16" t="s">
        <v>15</v>
      </c>
      <c r="E316" s="10">
        <v>12</v>
      </c>
      <c r="F316" s="10">
        <v>2</v>
      </c>
      <c r="G316" s="68">
        <f t="shared" si="15"/>
        <v>24</v>
      </c>
      <c r="H316" s="69" t="s">
        <v>16</v>
      </c>
      <c r="I316" s="52">
        <v>13</v>
      </c>
      <c r="J316" s="52">
        <f t="shared" si="16"/>
        <v>312</v>
      </c>
      <c r="K316" s="52"/>
      <c r="L316" s="7" t="s">
        <v>43</v>
      </c>
      <c r="M316" s="52" t="s">
        <v>17</v>
      </c>
      <c r="N316" s="52"/>
    </row>
    <row r="317" s="8" customFormat="1" spans="1:14">
      <c r="A317" s="65" t="s">
        <v>225</v>
      </c>
      <c r="B317" s="66">
        <v>46150</v>
      </c>
      <c r="C317" s="67" t="s">
        <v>135</v>
      </c>
      <c r="D317" s="16" t="s">
        <v>15</v>
      </c>
      <c r="E317" s="10">
        <v>12</v>
      </c>
      <c r="F317" s="10">
        <v>2</v>
      </c>
      <c r="G317" s="68">
        <f t="shared" si="15"/>
        <v>24</v>
      </c>
      <c r="H317" s="69" t="s">
        <v>16</v>
      </c>
      <c r="I317" s="52">
        <v>13</v>
      </c>
      <c r="J317" s="52">
        <f t="shared" si="16"/>
        <v>312</v>
      </c>
      <c r="K317" s="52"/>
      <c r="L317" s="7" t="s">
        <v>43</v>
      </c>
      <c r="M317" s="52" t="s">
        <v>17</v>
      </c>
      <c r="N317" s="52"/>
    </row>
    <row r="318" s="8" customFormat="1" spans="1:14">
      <c r="A318" s="74" t="s">
        <v>208</v>
      </c>
      <c r="B318" s="66">
        <v>46151</v>
      </c>
      <c r="C318" s="75" t="s">
        <v>209</v>
      </c>
      <c r="D318" s="7" t="s">
        <v>40</v>
      </c>
      <c r="E318" s="10">
        <v>12</v>
      </c>
      <c r="F318" s="10">
        <v>100</v>
      </c>
      <c r="G318" s="68">
        <f t="shared" si="15"/>
        <v>1200</v>
      </c>
      <c r="H318" s="69" t="s">
        <v>16</v>
      </c>
      <c r="I318" s="52">
        <v>17.5</v>
      </c>
      <c r="J318" s="52">
        <f t="shared" si="16"/>
        <v>21000</v>
      </c>
      <c r="K318" s="52"/>
      <c r="L318" s="7" t="s">
        <v>43</v>
      </c>
      <c r="M318" s="52" t="s">
        <v>17</v>
      </c>
      <c r="N318" s="52"/>
    </row>
    <row r="319" s="8" customFormat="1" spans="1:14">
      <c r="A319" s="65" t="s">
        <v>226</v>
      </c>
      <c r="B319" s="66">
        <v>46151</v>
      </c>
      <c r="C319" s="67" t="s">
        <v>52</v>
      </c>
      <c r="D319" s="16" t="s">
        <v>15</v>
      </c>
      <c r="E319" s="10">
        <v>12</v>
      </c>
      <c r="F319" s="10">
        <v>10</v>
      </c>
      <c r="G319" s="68">
        <f t="shared" si="15"/>
        <v>120</v>
      </c>
      <c r="H319" s="69" t="s">
        <v>16</v>
      </c>
      <c r="I319" s="52">
        <v>12.5</v>
      </c>
      <c r="J319" s="52">
        <f t="shared" si="16"/>
        <v>1500</v>
      </c>
      <c r="K319" s="52"/>
      <c r="L319" s="7" t="s">
        <v>43</v>
      </c>
      <c r="M319" s="52" t="s">
        <v>17</v>
      </c>
      <c r="N319" s="52" t="s">
        <v>148</v>
      </c>
    </row>
    <row r="320" s="8" customFormat="1" spans="1:14">
      <c r="A320" s="65" t="s">
        <v>227</v>
      </c>
      <c r="B320" s="66">
        <v>46151</v>
      </c>
      <c r="C320" s="67" t="s">
        <v>200</v>
      </c>
      <c r="D320" s="16" t="s">
        <v>15</v>
      </c>
      <c r="E320" s="10">
        <v>12</v>
      </c>
      <c r="F320" s="10">
        <v>2</v>
      </c>
      <c r="G320" s="68">
        <f t="shared" si="15"/>
        <v>24</v>
      </c>
      <c r="H320" s="69" t="s">
        <v>16</v>
      </c>
      <c r="I320" s="52">
        <v>11.8</v>
      </c>
      <c r="J320" s="52">
        <f t="shared" si="16"/>
        <v>283.2</v>
      </c>
      <c r="K320" s="52"/>
      <c r="L320" s="7" t="s">
        <v>43</v>
      </c>
      <c r="M320" s="52" t="s">
        <v>17</v>
      </c>
      <c r="N320" s="52"/>
    </row>
    <row r="321" s="8" customFormat="1" spans="1:14">
      <c r="A321" s="65" t="s">
        <v>227</v>
      </c>
      <c r="B321" s="66">
        <v>46151</v>
      </c>
      <c r="C321" s="67" t="s">
        <v>200</v>
      </c>
      <c r="D321" s="7" t="s">
        <v>34</v>
      </c>
      <c r="E321" s="10">
        <v>12</v>
      </c>
      <c r="F321" s="10">
        <v>2</v>
      </c>
      <c r="G321" s="68">
        <f t="shared" si="15"/>
        <v>24</v>
      </c>
      <c r="H321" s="69" t="s">
        <v>16</v>
      </c>
      <c r="I321" s="52">
        <v>9.8</v>
      </c>
      <c r="J321" s="52">
        <f t="shared" si="16"/>
        <v>235.2</v>
      </c>
      <c r="K321" s="52"/>
      <c r="L321" s="7" t="s">
        <v>43</v>
      </c>
      <c r="M321" s="52" t="s">
        <v>17</v>
      </c>
      <c r="N321" s="52"/>
    </row>
    <row r="322" s="8" customFormat="1" spans="1:14">
      <c r="A322" s="65" t="s">
        <v>227</v>
      </c>
      <c r="B322" s="66">
        <v>46151</v>
      </c>
      <c r="C322" s="67" t="s">
        <v>200</v>
      </c>
      <c r="D322" s="7" t="s">
        <v>33</v>
      </c>
      <c r="E322" s="10">
        <v>12</v>
      </c>
      <c r="F322" s="10">
        <v>2</v>
      </c>
      <c r="G322" s="68">
        <f t="shared" si="15"/>
        <v>24</v>
      </c>
      <c r="H322" s="69" t="s">
        <v>16</v>
      </c>
      <c r="I322" s="52">
        <v>14.8</v>
      </c>
      <c r="J322" s="52">
        <f t="shared" si="16"/>
        <v>355.2</v>
      </c>
      <c r="K322" s="52"/>
      <c r="L322" s="7" t="s">
        <v>43</v>
      </c>
      <c r="M322" s="52" t="s">
        <v>17</v>
      </c>
      <c r="N322" s="52"/>
    </row>
    <row r="323" s="8" customFormat="1" spans="1:14">
      <c r="A323" s="65" t="s">
        <v>228</v>
      </c>
      <c r="B323" s="66">
        <v>46151</v>
      </c>
      <c r="C323" s="67" t="s">
        <v>176</v>
      </c>
      <c r="D323" s="7" t="s">
        <v>53</v>
      </c>
      <c r="E323" s="10">
        <v>12</v>
      </c>
      <c r="F323" s="10">
        <v>30</v>
      </c>
      <c r="G323" s="68">
        <f t="shared" si="15"/>
        <v>360</v>
      </c>
      <c r="H323" s="69" t="s">
        <v>16</v>
      </c>
      <c r="I323" s="52">
        <v>13</v>
      </c>
      <c r="J323" s="52">
        <f t="shared" si="16"/>
        <v>4680</v>
      </c>
      <c r="K323" s="52"/>
      <c r="L323" s="7" t="s">
        <v>43</v>
      </c>
      <c r="M323" s="52" t="s">
        <v>17</v>
      </c>
      <c r="N323" s="52"/>
    </row>
    <row r="324" s="8" customFormat="1" spans="1:14">
      <c r="A324" s="65" t="s">
        <v>229</v>
      </c>
      <c r="B324" s="66">
        <v>46151</v>
      </c>
      <c r="C324" s="67" t="s">
        <v>52</v>
      </c>
      <c r="D324" s="16" t="s">
        <v>15</v>
      </c>
      <c r="E324" s="10">
        <v>12</v>
      </c>
      <c r="F324" s="10">
        <v>5</v>
      </c>
      <c r="G324" s="68">
        <f t="shared" si="15"/>
        <v>60</v>
      </c>
      <c r="H324" s="69" t="s">
        <v>16</v>
      </c>
      <c r="I324" s="52">
        <v>12.5</v>
      </c>
      <c r="J324" s="52">
        <f t="shared" si="16"/>
        <v>750</v>
      </c>
      <c r="K324" s="52"/>
      <c r="L324" s="7" t="s">
        <v>43</v>
      </c>
      <c r="M324" s="52" t="s">
        <v>17</v>
      </c>
      <c r="N324" s="52" t="s">
        <v>148</v>
      </c>
    </row>
    <row r="325" s="8" customFormat="1" spans="1:14">
      <c r="A325" s="65" t="s">
        <v>230</v>
      </c>
      <c r="B325" s="66">
        <v>46151</v>
      </c>
      <c r="C325" s="67" t="s">
        <v>135</v>
      </c>
      <c r="D325" s="16" t="s">
        <v>15</v>
      </c>
      <c r="E325" s="10">
        <v>12</v>
      </c>
      <c r="F325" s="10">
        <v>5</v>
      </c>
      <c r="G325" s="68">
        <f t="shared" si="15"/>
        <v>60</v>
      </c>
      <c r="H325" s="69" t="s">
        <v>16</v>
      </c>
      <c r="I325" s="52">
        <v>13</v>
      </c>
      <c r="J325" s="52"/>
      <c r="K325" s="52"/>
      <c r="L325" s="7" t="s">
        <v>43</v>
      </c>
      <c r="M325" s="52"/>
      <c r="N325" s="46" t="s">
        <v>231</v>
      </c>
    </row>
    <row r="326" s="8" customFormat="1" spans="1:14">
      <c r="A326" s="65" t="s">
        <v>232</v>
      </c>
      <c r="B326" s="66">
        <v>46152</v>
      </c>
      <c r="C326" s="67" t="s">
        <v>233</v>
      </c>
      <c r="D326" s="7" t="s">
        <v>50</v>
      </c>
      <c r="E326" s="10">
        <v>12</v>
      </c>
      <c r="F326" s="10">
        <v>30</v>
      </c>
      <c r="G326" s="68">
        <f t="shared" si="15"/>
        <v>360</v>
      </c>
      <c r="H326" s="73" t="s">
        <v>16</v>
      </c>
      <c r="I326" s="52">
        <v>20</v>
      </c>
      <c r="J326" s="52">
        <f t="shared" ref="J326:J389" si="17">G326*I326</f>
        <v>7200</v>
      </c>
      <c r="K326" s="52"/>
      <c r="L326" s="7" t="s">
        <v>43</v>
      </c>
      <c r="M326" s="7" t="s">
        <v>17</v>
      </c>
      <c r="N326" s="52"/>
    </row>
    <row r="327" s="8" customFormat="1" spans="1:14">
      <c r="A327" s="65" t="s">
        <v>234</v>
      </c>
      <c r="B327" s="66">
        <v>46152</v>
      </c>
      <c r="C327" s="67" t="s">
        <v>235</v>
      </c>
      <c r="D327" s="7" t="s">
        <v>33</v>
      </c>
      <c r="E327" s="10">
        <v>12</v>
      </c>
      <c r="F327" s="10">
        <v>5</v>
      </c>
      <c r="G327" s="68">
        <f t="shared" si="15"/>
        <v>60</v>
      </c>
      <c r="H327" s="69" t="s">
        <v>16</v>
      </c>
      <c r="I327" s="52">
        <v>16</v>
      </c>
      <c r="J327" s="52">
        <f t="shared" si="17"/>
        <v>960</v>
      </c>
      <c r="K327" s="52"/>
      <c r="L327" s="7" t="s">
        <v>43</v>
      </c>
      <c r="M327" s="52" t="s">
        <v>17</v>
      </c>
      <c r="N327" s="52"/>
    </row>
    <row r="328" s="8" customFormat="1" spans="1:14">
      <c r="A328" s="65" t="s">
        <v>234</v>
      </c>
      <c r="B328" s="66">
        <v>46152</v>
      </c>
      <c r="C328" s="67" t="s">
        <v>235</v>
      </c>
      <c r="D328" s="7" t="s">
        <v>50</v>
      </c>
      <c r="E328" s="10">
        <v>12</v>
      </c>
      <c r="F328" s="10">
        <v>5</v>
      </c>
      <c r="G328" s="68">
        <f t="shared" si="15"/>
        <v>60</v>
      </c>
      <c r="H328" s="69" t="s">
        <v>16</v>
      </c>
      <c r="I328" s="52">
        <v>18</v>
      </c>
      <c r="J328" s="52">
        <f t="shared" si="17"/>
        <v>1080</v>
      </c>
      <c r="K328" s="52"/>
      <c r="L328" s="7" t="s">
        <v>43</v>
      </c>
      <c r="M328" s="52" t="s">
        <v>17</v>
      </c>
      <c r="N328" s="52"/>
    </row>
    <row r="329" s="8" customFormat="1" spans="1:14">
      <c r="A329" s="65" t="s">
        <v>234</v>
      </c>
      <c r="B329" s="66">
        <v>46152</v>
      </c>
      <c r="C329" s="67" t="s">
        <v>235</v>
      </c>
      <c r="D329" s="7" t="s">
        <v>33</v>
      </c>
      <c r="E329" s="10">
        <v>12</v>
      </c>
      <c r="F329" s="10">
        <v>10</v>
      </c>
      <c r="G329" s="68">
        <f t="shared" si="15"/>
        <v>120</v>
      </c>
      <c r="H329" s="69" t="s">
        <v>16</v>
      </c>
      <c r="I329" s="52">
        <v>16</v>
      </c>
      <c r="J329" s="52">
        <f t="shared" si="17"/>
        <v>1920</v>
      </c>
      <c r="K329" s="52"/>
      <c r="L329" s="7" t="s">
        <v>43</v>
      </c>
      <c r="M329" s="52" t="s">
        <v>17</v>
      </c>
      <c r="N329" s="52"/>
    </row>
    <row r="330" s="8" customFormat="1" spans="1:14">
      <c r="A330" s="65" t="s">
        <v>234</v>
      </c>
      <c r="B330" s="66">
        <v>46152</v>
      </c>
      <c r="C330" s="67" t="s">
        <v>118</v>
      </c>
      <c r="D330" s="7" t="s">
        <v>39</v>
      </c>
      <c r="E330" s="10">
        <v>12</v>
      </c>
      <c r="F330" s="10">
        <v>4</v>
      </c>
      <c r="G330" s="68">
        <f t="shared" si="15"/>
        <v>48</v>
      </c>
      <c r="H330" s="69" t="s">
        <v>16</v>
      </c>
      <c r="I330" s="52">
        <v>16</v>
      </c>
      <c r="J330" s="52">
        <f t="shared" si="17"/>
        <v>768</v>
      </c>
      <c r="K330" s="52"/>
      <c r="L330" s="7" t="s">
        <v>43</v>
      </c>
      <c r="M330" s="7" t="s">
        <v>17</v>
      </c>
      <c r="N330" s="52"/>
    </row>
    <row r="331" s="8" customFormat="1" spans="1:14">
      <c r="A331" s="70" t="s">
        <v>236</v>
      </c>
      <c r="B331" s="71">
        <v>46154</v>
      </c>
      <c r="C331" s="70" t="s">
        <v>237</v>
      </c>
      <c r="D331" s="65" t="s">
        <v>100</v>
      </c>
      <c r="E331" s="76">
        <v>10</v>
      </c>
      <c r="F331" s="76">
        <v>2</v>
      </c>
      <c r="G331" s="68">
        <f t="shared" si="15"/>
        <v>20</v>
      </c>
      <c r="H331" s="68" t="s">
        <v>16</v>
      </c>
      <c r="I331" s="52">
        <v>35</v>
      </c>
      <c r="J331" s="52">
        <f t="shared" si="17"/>
        <v>700</v>
      </c>
      <c r="K331" s="52"/>
      <c r="L331" s="7" t="s">
        <v>43</v>
      </c>
      <c r="M331" s="52" t="s">
        <v>17</v>
      </c>
      <c r="N331" s="52"/>
    </row>
    <row r="332" s="8" customFormat="1" spans="1:14">
      <c r="A332" s="65" t="s">
        <v>238</v>
      </c>
      <c r="B332" s="66">
        <v>46154</v>
      </c>
      <c r="C332" s="67" t="s">
        <v>239</v>
      </c>
      <c r="D332" s="7" t="s">
        <v>53</v>
      </c>
      <c r="E332" s="10">
        <v>12</v>
      </c>
      <c r="F332" s="10">
        <v>3</v>
      </c>
      <c r="G332" s="68">
        <f t="shared" si="15"/>
        <v>36</v>
      </c>
      <c r="H332" s="69" t="s">
        <v>16</v>
      </c>
      <c r="I332" s="52">
        <v>13</v>
      </c>
      <c r="J332" s="52">
        <f t="shared" si="17"/>
        <v>468</v>
      </c>
      <c r="K332" s="52"/>
      <c r="L332" s="7" t="s">
        <v>43</v>
      </c>
      <c r="M332" s="52" t="s">
        <v>17</v>
      </c>
      <c r="N332" s="52"/>
    </row>
    <row r="333" s="8" customFormat="1" spans="1:14">
      <c r="A333" s="65" t="s">
        <v>205</v>
      </c>
      <c r="B333" s="66">
        <v>46154</v>
      </c>
      <c r="C333" s="67" t="s">
        <v>66</v>
      </c>
      <c r="D333" s="7" t="s">
        <v>33</v>
      </c>
      <c r="E333" s="10">
        <v>12</v>
      </c>
      <c r="F333" s="10">
        <v>30</v>
      </c>
      <c r="G333" s="68">
        <f t="shared" si="15"/>
        <v>360</v>
      </c>
      <c r="H333" s="69" t="s">
        <v>16</v>
      </c>
      <c r="I333" s="52">
        <v>14.8</v>
      </c>
      <c r="J333" s="52">
        <f t="shared" si="17"/>
        <v>5328</v>
      </c>
      <c r="K333" s="52"/>
      <c r="L333" s="7" t="s">
        <v>43</v>
      </c>
      <c r="M333" s="52" t="s">
        <v>17</v>
      </c>
      <c r="N333" s="52"/>
    </row>
    <row r="334" s="8" customFormat="1" spans="1:14">
      <c r="A334" s="65" t="s">
        <v>89</v>
      </c>
      <c r="B334" s="66">
        <v>46154</v>
      </c>
      <c r="C334" s="67" t="s">
        <v>240</v>
      </c>
      <c r="D334" s="7" t="s">
        <v>33</v>
      </c>
      <c r="E334" s="10">
        <v>12</v>
      </c>
      <c r="F334" s="10">
        <v>30</v>
      </c>
      <c r="G334" s="68">
        <f t="shared" si="15"/>
        <v>360</v>
      </c>
      <c r="H334" s="69" t="s">
        <v>16</v>
      </c>
      <c r="I334" s="52">
        <v>14.8</v>
      </c>
      <c r="J334" s="52">
        <f t="shared" si="17"/>
        <v>5328</v>
      </c>
      <c r="K334" s="52"/>
      <c r="L334" s="7" t="s">
        <v>43</v>
      </c>
      <c r="M334" s="52" t="s">
        <v>17</v>
      </c>
      <c r="N334" s="52"/>
    </row>
    <row r="335" s="8" customFormat="1" spans="1:14">
      <c r="A335" s="65" t="s">
        <v>241</v>
      </c>
      <c r="B335" s="66">
        <v>46154</v>
      </c>
      <c r="C335" s="67" t="s">
        <v>242</v>
      </c>
      <c r="D335" s="7" t="s">
        <v>39</v>
      </c>
      <c r="E335" s="10">
        <v>12</v>
      </c>
      <c r="F335" s="10">
        <v>5</v>
      </c>
      <c r="G335" s="68">
        <f t="shared" si="15"/>
        <v>60</v>
      </c>
      <c r="H335" s="69" t="s">
        <v>16</v>
      </c>
      <c r="I335" s="52">
        <v>14.8</v>
      </c>
      <c r="J335" s="52">
        <f t="shared" si="17"/>
        <v>888</v>
      </c>
      <c r="K335" s="52"/>
      <c r="L335" s="7" t="s">
        <v>43</v>
      </c>
      <c r="M335" s="52" t="s">
        <v>17</v>
      </c>
      <c r="N335" s="52"/>
    </row>
    <row r="336" s="8" customFormat="1" spans="1:14">
      <c r="A336" s="65" t="s">
        <v>241</v>
      </c>
      <c r="B336" s="66">
        <v>46154</v>
      </c>
      <c r="C336" s="67" t="s">
        <v>242</v>
      </c>
      <c r="D336" s="7" t="s">
        <v>34</v>
      </c>
      <c r="E336" s="10">
        <v>12</v>
      </c>
      <c r="F336" s="10">
        <v>5</v>
      </c>
      <c r="G336" s="68">
        <f t="shared" si="15"/>
        <v>60</v>
      </c>
      <c r="H336" s="69" t="s">
        <v>16</v>
      </c>
      <c r="I336" s="52">
        <v>9.8</v>
      </c>
      <c r="J336" s="52">
        <f t="shared" si="17"/>
        <v>588</v>
      </c>
      <c r="K336" s="52"/>
      <c r="L336" s="7" t="s">
        <v>43</v>
      </c>
      <c r="M336" s="52" t="s">
        <v>17</v>
      </c>
      <c r="N336" s="52"/>
    </row>
    <row r="337" s="8" customFormat="1" spans="1:14">
      <c r="A337" s="65" t="s">
        <v>241</v>
      </c>
      <c r="B337" s="66">
        <v>46154</v>
      </c>
      <c r="C337" s="67" t="s">
        <v>242</v>
      </c>
      <c r="D337" s="16" t="s">
        <v>15</v>
      </c>
      <c r="E337" s="10">
        <v>12</v>
      </c>
      <c r="F337" s="10">
        <v>5</v>
      </c>
      <c r="G337" s="68">
        <f t="shared" si="15"/>
        <v>60</v>
      </c>
      <c r="H337" s="69" t="s">
        <v>16</v>
      </c>
      <c r="I337" s="52">
        <v>11.8</v>
      </c>
      <c r="J337" s="52">
        <f t="shared" si="17"/>
        <v>708</v>
      </c>
      <c r="K337" s="52"/>
      <c r="L337" s="7" t="s">
        <v>43</v>
      </c>
      <c r="M337" s="52" t="s">
        <v>17</v>
      </c>
      <c r="N337" s="52"/>
    </row>
    <row r="338" s="8" customFormat="1" spans="1:14">
      <c r="A338" s="65" t="s">
        <v>218</v>
      </c>
      <c r="B338" s="66">
        <v>46154</v>
      </c>
      <c r="C338" s="67" t="s">
        <v>243</v>
      </c>
      <c r="D338" s="7" t="s">
        <v>34</v>
      </c>
      <c r="E338" s="10">
        <v>12</v>
      </c>
      <c r="F338" s="10">
        <v>10</v>
      </c>
      <c r="G338" s="68">
        <f t="shared" si="15"/>
        <v>120</v>
      </c>
      <c r="H338" s="69" t="s">
        <v>16</v>
      </c>
      <c r="I338" s="52">
        <v>9.8</v>
      </c>
      <c r="J338" s="52">
        <f t="shared" si="17"/>
        <v>1176</v>
      </c>
      <c r="K338" s="52"/>
      <c r="L338" s="7" t="s">
        <v>43</v>
      </c>
      <c r="M338" s="52" t="s">
        <v>17</v>
      </c>
      <c r="N338" s="52"/>
    </row>
    <row r="339" s="8" customFormat="1" spans="1:14">
      <c r="A339" s="65" t="s">
        <v>244</v>
      </c>
      <c r="B339" s="66">
        <v>46154</v>
      </c>
      <c r="C339" s="67" t="s">
        <v>243</v>
      </c>
      <c r="D339" s="16" t="s">
        <v>15</v>
      </c>
      <c r="E339" s="10">
        <v>12</v>
      </c>
      <c r="F339" s="10">
        <v>20</v>
      </c>
      <c r="G339" s="68">
        <f t="shared" si="15"/>
        <v>240</v>
      </c>
      <c r="H339" s="69" t="s">
        <v>16</v>
      </c>
      <c r="I339" s="52">
        <v>11.8</v>
      </c>
      <c r="J339" s="52">
        <f t="shared" si="17"/>
        <v>2832</v>
      </c>
      <c r="K339" s="52"/>
      <c r="L339" s="7" t="s">
        <v>43</v>
      </c>
      <c r="M339" s="52" t="s">
        <v>17</v>
      </c>
      <c r="N339" s="52"/>
    </row>
    <row r="340" s="8" customFormat="1" spans="1:14">
      <c r="A340" s="65" t="s">
        <v>244</v>
      </c>
      <c r="B340" s="66">
        <v>46154</v>
      </c>
      <c r="C340" s="67" t="s">
        <v>243</v>
      </c>
      <c r="D340" s="7" t="s">
        <v>33</v>
      </c>
      <c r="E340" s="10">
        <v>12</v>
      </c>
      <c r="F340" s="10">
        <v>6</v>
      </c>
      <c r="G340" s="68">
        <f t="shared" si="15"/>
        <v>72</v>
      </c>
      <c r="H340" s="69" t="s">
        <v>16</v>
      </c>
      <c r="I340" s="52">
        <v>14.8</v>
      </c>
      <c r="J340" s="52">
        <f t="shared" si="17"/>
        <v>1065.6</v>
      </c>
      <c r="K340" s="52"/>
      <c r="L340" s="7" t="s">
        <v>43</v>
      </c>
      <c r="M340" s="52" t="s">
        <v>17</v>
      </c>
      <c r="N340" s="52"/>
    </row>
    <row r="341" s="8" customFormat="1" spans="1:14">
      <c r="A341" s="65" t="s">
        <v>245</v>
      </c>
      <c r="B341" s="66">
        <v>46154</v>
      </c>
      <c r="C341" s="67" t="s">
        <v>52</v>
      </c>
      <c r="D341" s="7" t="s">
        <v>33</v>
      </c>
      <c r="E341" s="10">
        <v>12</v>
      </c>
      <c r="F341" s="10">
        <v>20</v>
      </c>
      <c r="G341" s="68">
        <f t="shared" si="15"/>
        <v>240</v>
      </c>
      <c r="H341" s="69" t="s">
        <v>16</v>
      </c>
      <c r="I341" s="52">
        <v>16</v>
      </c>
      <c r="J341" s="52">
        <f t="shared" si="17"/>
        <v>3840</v>
      </c>
      <c r="K341" s="52"/>
      <c r="L341" s="7" t="s">
        <v>43</v>
      </c>
      <c r="M341" s="52" t="s">
        <v>17</v>
      </c>
      <c r="N341" s="52" t="s">
        <v>148</v>
      </c>
    </row>
    <row r="342" s="8" customFormat="1" spans="1:14">
      <c r="A342" s="65" t="s">
        <v>246</v>
      </c>
      <c r="B342" s="66">
        <v>46155</v>
      </c>
      <c r="C342" s="67" t="s">
        <v>247</v>
      </c>
      <c r="D342" s="16" t="s">
        <v>15</v>
      </c>
      <c r="E342" s="10">
        <v>12</v>
      </c>
      <c r="F342" s="10">
        <v>13</v>
      </c>
      <c r="G342" s="68">
        <f t="shared" si="15"/>
        <v>156</v>
      </c>
      <c r="H342" s="69" t="s">
        <v>16</v>
      </c>
      <c r="I342" s="52">
        <v>10.9</v>
      </c>
      <c r="J342" s="52">
        <f t="shared" si="17"/>
        <v>1700.4</v>
      </c>
      <c r="K342" s="52"/>
      <c r="L342" s="7" t="s">
        <v>43</v>
      </c>
      <c r="M342" s="7" t="s">
        <v>17</v>
      </c>
      <c r="N342" s="52"/>
    </row>
    <row r="343" s="8" customFormat="1" spans="1:14">
      <c r="A343" s="65" t="s">
        <v>246</v>
      </c>
      <c r="B343" s="66">
        <v>46155</v>
      </c>
      <c r="C343" s="67" t="s">
        <v>247</v>
      </c>
      <c r="D343" s="7" t="s">
        <v>34</v>
      </c>
      <c r="E343" s="10">
        <v>12</v>
      </c>
      <c r="F343" s="10">
        <v>13</v>
      </c>
      <c r="G343" s="68">
        <f t="shared" si="15"/>
        <v>156</v>
      </c>
      <c r="H343" s="69" t="s">
        <v>16</v>
      </c>
      <c r="I343" s="52">
        <v>12.6</v>
      </c>
      <c r="J343" s="52">
        <f t="shared" si="17"/>
        <v>1965.6</v>
      </c>
      <c r="K343" s="52"/>
      <c r="L343" s="7" t="s">
        <v>43</v>
      </c>
      <c r="M343" s="7" t="s">
        <v>17</v>
      </c>
      <c r="N343" s="52"/>
    </row>
    <row r="344" s="8" customFormat="1" spans="1:14">
      <c r="A344" s="65" t="s">
        <v>248</v>
      </c>
      <c r="B344" s="66">
        <v>46157</v>
      </c>
      <c r="C344" s="67" t="s">
        <v>249</v>
      </c>
      <c r="D344" s="16" t="s">
        <v>15</v>
      </c>
      <c r="E344" s="10">
        <v>12</v>
      </c>
      <c r="F344" s="10">
        <v>30</v>
      </c>
      <c r="G344" s="68">
        <f t="shared" si="15"/>
        <v>360</v>
      </c>
      <c r="H344" s="69" t="s">
        <v>16</v>
      </c>
      <c r="I344" s="52">
        <v>11.8</v>
      </c>
      <c r="J344" s="52">
        <f t="shared" si="17"/>
        <v>4248</v>
      </c>
      <c r="K344" s="52"/>
      <c r="L344" s="7" t="s">
        <v>43</v>
      </c>
      <c r="M344" s="52" t="s">
        <v>17</v>
      </c>
      <c r="N344" s="52"/>
    </row>
    <row r="345" s="8" customFormat="1" spans="1:14">
      <c r="A345" s="65" t="s">
        <v>250</v>
      </c>
      <c r="B345" s="66">
        <v>46157</v>
      </c>
      <c r="C345" s="67" t="s">
        <v>75</v>
      </c>
      <c r="D345" s="16" t="s">
        <v>15</v>
      </c>
      <c r="E345" s="65">
        <v>12</v>
      </c>
      <c r="F345" s="65">
        <v>150</v>
      </c>
      <c r="G345" s="68">
        <f t="shared" si="15"/>
        <v>1800</v>
      </c>
      <c r="H345" s="77" t="s">
        <v>16</v>
      </c>
      <c r="I345" s="52">
        <v>11.8</v>
      </c>
      <c r="J345" s="52">
        <f t="shared" si="17"/>
        <v>21240</v>
      </c>
      <c r="K345" s="52"/>
      <c r="L345" s="7" t="s">
        <v>43</v>
      </c>
      <c r="M345" s="52" t="s">
        <v>17</v>
      </c>
      <c r="N345" s="52"/>
    </row>
    <row r="346" s="8" customFormat="1" spans="1:14">
      <c r="A346" s="65" t="s">
        <v>250</v>
      </c>
      <c r="B346" s="66">
        <v>46157</v>
      </c>
      <c r="C346" s="67" t="s">
        <v>75</v>
      </c>
      <c r="D346" s="7" t="s">
        <v>33</v>
      </c>
      <c r="E346" s="10">
        <v>12</v>
      </c>
      <c r="F346" s="10">
        <v>50</v>
      </c>
      <c r="G346" s="68">
        <f t="shared" si="15"/>
        <v>600</v>
      </c>
      <c r="H346" s="69" t="s">
        <v>16</v>
      </c>
      <c r="I346" s="52">
        <v>14.8</v>
      </c>
      <c r="J346" s="52">
        <f t="shared" si="17"/>
        <v>8880</v>
      </c>
      <c r="K346" s="52"/>
      <c r="L346" s="7" t="s">
        <v>43</v>
      </c>
      <c r="M346" s="52" t="s">
        <v>17</v>
      </c>
      <c r="N346" s="52"/>
    </row>
    <row r="347" s="8" customFormat="1" spans="1:14">
      <c r="A347" s="65" t="s">
        <v>251</v>
      </c>
      <c r="B347" s="66">
        <v>46159</v>
      </c>
      <c r="C347" s="67" t="s">
        <v>252</v>
      </c>
      <c r="D347" s="16" t="s">
        <v>15</v>
      </c>
      <c r="E347" s="10">
        <v>12</v>
      </c>
      <c r="F347" s="10">
        <v>50</v>
      </c>
      <c r="G347" s="68">
        <f t="shared" si="15"/>
        <v>600</v>
      </c>
      <c r="H347" s="69" t="s">
        <v>16</v>
      </c>
      <c r="I347" s="52">
        <v>11.8</v>
      </c>
      <c r="J347" s="52">
        <f t="shared" si="17"/>
        <v>7080</v>
      </c>
      <c r="K347" s="52"/>
      <c r="L347" s="7" t="s">
        <v>43</v>
      </c>
      <c r="M347" s="52" t="s">
        <v>17</v>
      </c>
      <c r="N347" s="52"/>
    </row>
    <row r="348" s="8" customFormat="1" spans="1:14">
      <c r="A348" s="65" t="s">
        <v>253</v>
      </c>
      <c r="B348" s="66">
        <v>46159</v>
      </c>
      <c r="C348" s="67" t="s">
        <v>254</v>
      </c>
      <c r="D348" s="16" t="s">
        <v>15</v>
      </c>
      <c r="E348" s="10">
        <v>12</v>
      </c>
      <c r="F348" s="10">
        <v>10</v>
      </c>
      <c r="G348" s="68">
        <f t="shared" si="15"/>
        <v>120</v>
      </c>
      <c r="H348" s="69" t="s">
        <v>16</v>
      </c>
      <c r="I348" s="52">
        <v>11.8</v>
      </c>
      <c r="J348" s="52">
        <f t="shared" si="17"/>
        <v>1416</v>
      </c>
      <c r="K348" s="52"/>
      <c r="L348" s="7" t="s">
        <v>43</v>
      </c>
      <c r="M348" s="52" t="s">
        <v>17</v>
      </c>
      <c r="N348" s="52"/>
    </row>
    <row r="349" s="8" customFormat="1" spans="1:14">
      <c r="A349" s="65" t="s">
        <v>255</v>
      </c>
      <c r="B349" s="66">
        <v>46159</v>
      </c>
      <c r="C349" s="67" t="s">
        <v>256</v>
      </c>
      <c r="D349" s="16" t="s">
        <v>15</v>
      </c>
      <c r="E349" s="10">
        <v>12</v>
      </c>
      <c r="F349" s="10">
        <v>10</v>
      </c>
      <c r="G349" s="68">
        <f t="shared" si="15"/>
        <v>120</v>
      </c>
      <c r="H349" s="69" t="s">
        <v>16</v>
      </c>
      <c r="I349" s="52">
        <v>11.8</v>
      </c>
      <c r="J349" s="52">
        <f t="shared" si="17"/>
        <v>1416</v>
      </c>
      <c r="K349" s="52"/>
      <c r="L349" s="7" t="s">
        <v>43</v>
      </c>
      <c r="M349" s="52" t="s">
        <v>17</v>
      </c>
      <c r="N349" s="52"/>
    </row>
    <row r="350" s="8" customFormat="1" spans="1:14">
      <c r="A350" s="65" t="s">
        <v>257</v>
      </c>
      <c r="B350" s="66">
        <v>46159</v>
      </c>
      <c r="C350" s="67" t="s">
        <v>258</v>
      </c>
      <c r="D350" s="16" t="s">
        <v>15</v>
      </c>
      <c r="E350" s="10">
        <v>12</v>
      </c>
      <c r="F350" s="10">
        <v>50</v>
      </c>
      <c r="G350" s="68">
        <f t="shared" si="15"/>
        <v>600</v>
      </c>
      <c r="H350" s="69" t="s">
        <v>16</v>
      </c>
      <c r="I350" s="52">
        <v>11.8</v>
      </c>
      <c r="J350" s="52">
        <f t="shared" si="17"/>
        <v>7080</v>
      </c>
      <c r="K350" s="52"/>
      <c r="L350" s="7" t="s">
        <v>43</v>
      </c>
      <c r="M350" s="52" t="s">
        <v>17</v>
      </c>
      <c r="N350" s="52"/>
    </row>
    <row r="351" s="8" customFormat="1" spans="1:14">
      <c r="A351" s="65" t="s">
        <v>259</v>
      </c>
      <c r="B351" s="66">
        <v>46159</v>
      </c>
      <c r="C351" s="67" t="s">
        <v>77</v>
      </c>
      <c r="D351" s="7" t="s">
        <v>33</v>
      </c>
      <c r="E351" s="10">
        <v>12</v>
      </c>
      <c r="F351" s="10">
        <v>30</v>
      </c>
      <c r="G351" s="68">
        <f t="shared" si="15"/>
        <v>360</v>
      </c>
      <c r="H351" s="69" t="s">
        <v>16</v>
      </c>
      <c r="I351" s="52">
        <v>18</v>
      </c>
      <c r="J351" s="52">
        <f t="shared" si="17"/>
        <v>6480</v>
      </c>
      <c r="K351" s="52"/>
      <c r="L351" s="7" t="s">
        <v>43</v>
      </c>
      <c r="M351" s="52"/>
      <c r="N351" s="52"/>
    </row>
    <row r="352" s="8" customFormat="1" spans="1:14">
      <c r="A352" s="65" t="s">
        <v>260</v>
      </c>
      <c r="B352" s="66">
        <v>46159</v>
      </c>
      <c r="C352" s="67" t="s">
        <v>261</v>
      </c>
      <c r="D352" s="7" t="s">
        <v>50</v>
      </c>
      <c r="E352" s="10">
        <v>12</v>
      </c>
      <c r="F352" s="10">
        <v>10</v>
      </c>
      <c r="G352" s="68">
        <f t="shared" si="15"/>
        <v>120</v>
      </c>
      <c r="H352" s="69" t="s">
        <v>16</v>
      </c>
      <c r="I352" s="52">
        <v>17.3</v>
      </c>
      <c r="J352" s="52">
        <f t="shared" si="17"/>
        <v>2076</v>
      </c>
      <c r="K352" s="52"/>
      <c r="L352" s="7" t="s">
        <v>43</v>
      </c>
      <c r="M352" s="52" t="s">
        <v>17</v>
      </c>
      <c r="N352" s="52"/>
    </row>
    <row r="353" s="8" customFormat="1" spans="1:14">
      <c r="A353" s="65" t="s">
        <v>260</v>
      </c>
      <c r="B353" s="66">
        <v>46159</v>
      </c>
      <c r="C353" s="67" t="s">
        <v>261</v>
      </c>
      <c r="D353" s="7" t="s">
        <v>33</v>
      </c>
      <c r="E353" s="10">
        <v>12</v>
      </c>
      <c r="F353" s="10">
        <v>10</v>
      </c>
      <c r="G353" s="68">
        <f t="shared" si="15"/>
        <v>120</v>
      </c>
      <c r="H353" s="69" t="s">
        <v>16</v>
      </c>
      <c r="I353" s="52">
        <v>14.8</v>
      </c>
      <c r="J353" s="52">
        <f t="shared" si="17"/>
        <v>1776</v>
      </c>
      <c r="K353" s="52"/>
      <c r="L353" s="7" t="s">
        <v>43</v>
      </c>
      <c r="M353" s="52" t="s">
        <v>17</v>
      </c>
      <c r="N353" s="52"/>
    </row>
    <row r="354" s="8" customFormat="1" spans="1:14">
      <c r="A354" s="65" t="s">
        <v>262</v>
      </c>
      <c r="B354" s="66">
        <v>46159</v>
      </c>
      <c r="C354" s="67" t="s">
        <v>75</v>
      </c>
      <c r="D354" s="7" t="s">
        <v>34</v>
      </c>
      <c r="E354" s="10">
        <v>12</v>
      </c>
      <c r="F354" s="10">
        <v>62</v>
      </c>
      <c r="G354" s="68">
        <f t="shared" si="15"/>
        <v>744</v>
      </c>
      <c r="H354" s="69" t="s">
        <v>16</v>
      </c>
      <c r="I354" s="52">
        <v>9.8</v>
      </c>
      <c r="J354" s="52">
        <f t="shared" si="17"/>
        <v>7291.2</v>
      </c>
      <c r="K354" s="52"/>
      <c r="L354" s="7" t="s">
        <v>43</v>
      </c>
      <c r="M354" s="52" t="s">
        <v>17</v>
      </c>
      <c r="N354" s="52"/>
    </row>
    <row r="355" s="8" customFormat="1" hidden="1" spans="1:14">
      <c r="A355" s="78" t="s">
        <v>21</v>
      </c>
      <c r="B355" s="66">
        <v>46160</v>
      </c>
      <c r="C355" s="79" t="s">
        <v>22</v>
      </c>
      <c r="D355" s="16" t="s">
        <v>15</v>
      </c>
      <c r="E355" s="10">
        <v>12</v>
      </c>
      <c r="F355" s="10">
        <v>30</v>
      </c>
      <c r="G355" s="68">
        <f t="shared" si="15"/>
        <v>360</v>
      </c>
      <c r="H355" s="73" t="s">
        <v>16</v>
      </c>
      <c r="I355" s="52">
        <v>15.8</v>
      </c>
      <c r="J355" s="52">
        <f t="shared" si="17"/>
        <v>5688</v>
      </c>
      <c r="K355" s="52"/>
      <c r="L355" s="52" t="s">
        <v>17</v>
      </c>
      <c r="M355" s="7" t="s">
        <v>17</v>
      </c>
      <c r="N355" s="52"/>
    </row>
    <row r="356" s="8" customFormat="1" spans="1:14">
      <c r="A356" s="74" t="s">
        <v>204</v>
      </c>
      <c r="B356" s="66">
        <v>46160</v>
      </c>
      <c r="C356" s="75" t="s">
        <v>52</v>
      </c>
      <c r="D356" s="26" t="s">
        <v>15</v>
      </c>
      <c r="E356" s="10">
        <v>12</v>
      </c>
      <c r="F356" s="10">
        <v>12</v>
      </c>
      <c r="G356" s="68">
        <f t="shared" si="15"/>
        <v>144</v>
      </c>
      <c r="H356" s="69" t="s">
        <v>16</v>
      </c>
      <c r="I356" s="52">
        <v>12.5</v>
      </c>
      <c r="J356" s="52">
        <f t="shared" si="17"/>
        <v>1800</v>
      </c>
      <c r="K356" s="52"/>
      <c r="L356" s="7" t="s">
        <v>43</v>
      </c>
      <c r="M356" s="52" t="s">
        <v>17</v>
      </c>
      <c r="N356" s="7" t="s">
        <v>106</v>
      </c>
    </row>
    <row r="357" s="8" customFormat="1" spans="1:14">
      <c r="A357" s="65" t="s">
        <v>263</v>
      </c>
      <c r="B357" s="66">
        <v>46160</v>
      </c>
      <c r="C357" s="67" t="s">
        <v>52</v>
      </c>
      <c r="D357" s="7" t="s">
        <v>40</v>
      </c>
      <c r="E357" s="10">
        <v>12</v>
      </c>
      <c r="F357" s="10">
        <v>20</v>
      </c>
      <c r="G357" s="68">
        <f t="shared" ref="G357:G368" si="18">E357*F357</f>
        <v>240</v>
      </c>
      <c r="H357" s="69" t="s">
        <v>16</v>
      </c>
      <c r="I357" s="52">
        <v>20</v>
      </c>
      <c r="J357" s="52">
        <f t="shared" si="17"/>
        <v>4800</v>
      </c>
      <c r="K357" s="52"/>
      <c r="L357" s="7" t="s">
        <v>43</v>
      </c>
      <c r="M357" s="52" t="s">
        <v>17</v>
      </c>
      <c r="N357" s="52" t="s">
        <v>148</v>
      </c>
    </row>
    <row r="358" s="8" customFormat="1" spans="1:14">
      <c r="A358" s="65" t="s">
        <v>264</v>
      </c>
      <c r="B358" s="66">
        <v>46161</v>
      </c>
      <c r="C358" s="67" t="s">
        <v>77</v>
      </c>
      <c r="D358" s="7" t="s">
        <v>34</v>
      </c>
      <c r="E358" s="10">
        <v>12</v>
      </c>
      <c r="F358" s="10">
        <v>30</v>
      </c>
      <c r="G358" s="68">
        <f t="shared" si="18"/>
        <v>360</v>
      </c>
      <c r="H358" s="69" t="s">
        <v>16</v>
      </c>
      <c r="I358" s="52">
        <v>11.5</v>
      </c>
      <c r="J358" s="52">
        <f t="shared" si="17"/>
        <v>4140</v>
      </c>
      <c r="K358" s="52"/>
      <c r="L358" s="7" t="s">
        <v>43</v>
      </c>
      <c r="M358" s="52"/>
      <c r="N358" s="52"/>
    </row>
    <row r="359" s="8" customFormat="1" spans="1:14">
      <c r="A359" s="65" t="s">
        <v>264</v>
      </c>
      <c r="B359" s="66">
        <v>46161</v>
      </c>
      <c r="C359" s="67" t="s">
        <v>77</v>
      </c>
      <c r="D359" s="16" t="s">
        <v>15</v>
      </c>
      <c r="E359" s="10">
        <v>12</v>
      </c>
      <c r="F359" s="10">
        <v>30</v>
      </c>
      <c r="G359" s="68">
        <f t="shared" si="18"/>
        <v>360</v>
      </c>
      <c r="H359" s="69" t="s">
        <v>16</v>
      </c>
      <c r="I359" s="52">
        <v>14</v>
      </c>
      <c r="J359" s="52">
        <f t="shared" si="17"/>
        <v>5040</v>
      </c>
      <c r="K359" s="52"/>
      <c r="L359" s="7" t="s">
        <v>43</v>
      </c>
      <c r="M359" s="52"/>
      <c r="N359" s="52"/>
    </row>
    <row r="360" s="8" customFormat="1" spans="1:14">
      <c r="A360" s="65" t="s">
        <v>264</v>
      </c>
      <c r="B360" s="66">
        <v>46161</v>
      </c>
      <c r="C360" s="67" t="s">
        <v>77</v>
      </c>
      <c r="D360" s="7" t="s">
        <v>33</v>
      </c>
      <c r="E360" s="10">
        <v>12</v>
      </c>
      <c r="F360" s="10">
        <v>30</v>
      </c>
      <c r="G360" s="68">
        <f t="shared" si="18"/>
        <v>360</v>
      </c>
      <c r="H360" s="69" t="s">
        <v>16</v>
      </c>
      <c r="I360" s="52">
        <v>18</v>
      </c>
      <c r="J360" s="52">
        <f t="shared" si="17"/>
        <v>6480</v>
      </c>
      <c r="K360" s="52"/>
      <c r="L360" s="7" t="s">
        <v>43</v>
      </c>
      <c r="M360" s="52"/>
      <c r="N360" s="52"/>
    </row>
    <row r="361" s="8" customFormat="1" spans="1:14">
      <c r="A361" s="65" t="s">
        <v>264</v>
      </c>
      <c r="B361" s="66">
        <v>46161</v>
      </c>
      <c r="C361" s="67" t="s">
        <v>77</v>
      </c>
      <c r="D361" s="17" t="s">
        <v>48</v>
      </c>
      <c r="E361" s="10">
        <v>12</v>
      </c>
      <c r="F361" s="10">
        <v>30</v>
      </c>
      <c r="G361" s="68">
        <f t="shared" si="18"/>
        <v>360</v>
      </c>
      <c r="H361" s="69" t="s">
        <v>16</v>
      </c>
      <c r="I361" s="52">
        <v>17.5</v>
      </c>
      <c r="J361" s="52">
        <f t="shared" si="17"/>
        <v>6300</v>
      </c>
      <c r="K361" s="52"/>
      <c r="L361" s="7" t="s">
        <v>43</v>
      </c>
      <c r="M361" s="52"/>
      <c r="N361" s="52"/>
    </row>
    <row r="362" s="8" customFormat="1" spans="1:14">
      <c r="A362" s="65" t="s">
        <v>265</v>
      </c>
      <c r="B362" s="66">
        <v>46162</v>
      </c>
      <c r="C362" s="67" t="s">
        <v>266</v>
      </c>
      <c r="D362" s="16" t="s">
        <v>15</v>
      </c>
      <c r="E362" s="10">
        <v>12</v>
      </c>
      <c r="F362" s="10">
        <v>7</v>
      </c>
      <c r="G362" s="68">
        <f t="shared" si="18"/>
        <v>84</v>
      </c>
      <c r="H362" s="69" t="s">
        <v>16</v>
      </c>
      <c r="I362" s="52">
        <v>11.8</v>
      </c>
      <c r="J362" s="52">
        <f t="shared" si="17"/>
        <v>991.2</v>
      </c>
      <c r="K362" s="52"/>
      <c r="L362" s="7" t="s">
        <v>43</v>
      </c>
      <c r="M362" s="52" t="s">
        <v>17</v>
      </c>
      <c r="N362" s="52"/>
    </row>
    <row r="363" s="8" customFormat="1" spans="1:14">
      <c r="A363" s="65" t="s">
        <v>265</v>
      </c>
      <c r="B363" s="66">
        <v>46162</v>
      </c>
      <c r="C363" s="67" t="s">
        <v>266</v>
      </c>
      <c r="D363" s="16" t="s">
        <v>15</v>
      </c>
      <c r="E363" s="10">
        <v>12</v>
      </c>
      <c r="F363" s="10">
        <v>10</v>
      </c>
      <c r="G363" s="68">
        <f t="shared" si="18"/>
        <v>120</v>
      </c>
      <c r="H363" s="69" t="s">
        <v>16</v>
      </c>
      <c r="I363" s="52">
        <v>11.8</v>
      </c>
      <c r="J363" s="52">
        <f t="shared" si="17"/>
        <v>1416</v>
      </c>
      <c r="K363" s="52"/>
      <c r="L363" s="7" t="s">
        <v>43</v>
      </c>
      <c r="M363" s="52" t="s">
        <v>17</v>
      </c>
      <c r="N363" s="52"/>
    </row>
    <row r="364" s="8" customFormat="1" spans="1:14">
      <c r="A364" s="65" t="s">
        <v>267</v>
      </c>
      <c r="B364" s="66">
        <v>46162</v>
      </c>
      <c r="C364" s="67" t="s">
        <v>268</v>
      </c>
      <c r="D364" s="7" t="s">
        <v>39</v>
      </c>
      <c r="E364" s="10">
        <v>12</v>
      </c>
      <c r="F364" s="10">
        <v>15</v>
      </c>
      <c r="G364" s="68">
        <f t="shared" si="18"/>
        <v>180</v>
      </c>
      <c r="H364" s="69" t="s">
        <v>16</v>
      </c>
      <c r="I364" s="52">
        <v>15</v>
      </c>
      <c r="J364" s="52">
        <f t="shared" si="17"/>
        <v>2700</v>
      </c>
      <c r="K364" s="52"/>
      <c r="L364" s="7" t="s">
        <v>43</v>
      </c>
      <c r="M364" s="52" t="s">
        <v>17</v>
      </c>
      <c r="N364" s="52"/>
    </row>
    <row r="365" s="8" customFormat="1" spans="1:14">
      <c r="A365" s="65" t="s">
        <v>269</v>
      </c>
      <c r="B365" s="66">
        <v>46162</v>
      </c>
      <c r="C365" s="67" t="s">
        <v>270</v>
      </c>
      <c r="D365" s="7" t="s">
        <v>53</v>
      </c>
      <c r="E365" s="10">
        <v>12</v>
      </c>
      <c r="F365" s="10">
        <v>4</v>
      </c>
      <c r="G365" s="68">
        <f t="shared" si="18"/>
        <v>48</v>
      </c>
      <c r="H365" s="69" t="s">
        <v>16</v>
      </c>
      <c r="I365" s="52">
        <v>13</v>
      </c>
      <c r="J365" s="52">
        <f t="shared" si="17"/>
        <v>624</v>
      </c>
      <c r="K365" s="52"/>
      <c r="L365" s="7" t="s">
        <v>43</v>
      </c>
      <c r="M365" s="52" t="s">
        <v>17</v>
      </c>
      <c r="N365" s="52"/>
    </row>
    <row r="366" s="8" customFormat="1" spans="1:14">
      <c r="A366" s="65" t="s">
        <v>271</v>
      </c>
      <c r="B366" s="66">
        <v>46162</v>
      </c>
      <c r="C366" s="67" t="s">
        <v>240</v>
      </c>
      <c r="D366" s="7" t="s">
        <v>33</v>
      </c>
      <c r="E366" s="10">
        <v>12</v>
      </c>
      <c r="F366" s="10">
        <v>20</v>
      </c>
      <c r="G366" s="68">
        <f t="shared" si="18"/>
        <v>240</v>
      </c>
      <c r="H366" s="69" t="s">
        <v>16</v>
      </c>
      <c r="I366" s="52">
        <v>14.8</v>
      </c>
      <c r="J366" s="45">
        <f t="shared" si="17"/>
        <v>3552</v>
      </c>
      <c r="K366" s="52"/>
      <c r="L366" s="7" t="s">
        <v>43</v>
      </c>
      <c r="M366" s="52" t="s">
        <v>17</v>
      </c>
      <c r="N366" s="52"/>
    </row>
    <row r="367" s="8" customFormat="1" spans="1:14">
      <c r="A367" s="65" t="s">
        <v>272</v>
      </c>
      <c r="B367" s="66">
        <v>46162</v>
      </c>
      <c r="C367" s="67" t="s">
        <v>273</v>
      </c>
      <c r="D367" s="17" t="s">
        <v>48</v>
      </c>
      <c r="E367" s="10">
        <v>12</v>
      </c>
      <c r="F367" s="10">
        <v>20</v>
      </c>
      <c r="G367" s="68">
        <f t="shared" si="18"/>
        <v>240</v>
      </c>
      <c r="H367" s="69" t="s">
        <v>16</v>
      </c>
      <c r="I367" s="52">
        <v>15</v>
      </c>
      <c r="J367" s="52">
        <f t="shared" si="17"/>
        <v>3600</v>
      </c>
      <c r="K367" s="52"/>
      <c r="L367" s="7" t="s">
        <v>43</v>
      </c>
      <c r="M367" s="52" t="s">
        <v>17</v>
      </c>
      <c r="N367" s="52"/>
    </row>
    <row r="368" s="8" customFormat="1" spans="1:14">
      <c r="A368" s="65" t="s">
        <v>272</v>
      </c>
      <c r="B368" s="66">
        <v>46162</v>
      </c>
      <c r="C368" s="67" t="s">
        <v>273</v>
      </c>
      <c r="D368" s="29" t="s">
        <v>95</v>
      </c>
      <c r="E368" s="10">
        <v>12</v>
      </c>
      <c r="F368" s="10">
        <v>20</v>
      </c>
      <c r="G368" s="68">
        <f t="shared" si="18"/>
        <v>240</v>
      </c>
      <c r="H368" s="69" t="s">
        <v>16</v>
      </c>
      <c r="I368" s="52">
        <v>18</v>
      </c>
      <c r="J368" s="52">
        <f t="shared" si="17"/>
        <v>4320</v>
      </c>
      <c r="K368" s="52"/>
      <c r="L368" s="7" t="s">
        <v>43</v>
      </c>
      <c r="M368" s="52" t="s">
        <v>17</v>
      </c>
      <c r="N368" s="52"/>
    </row>
    <row r="369" s="8" customFormat="1" hidden="1" spans="1:14">
      <c r="A369" s="65" t="s">
        <v>274</v>
      </c>
      <c r="B369" s="66">
        <v>46162</v>
      </c>
      <c r="C369" s="67" t="s">
        <v>73</v>
      </c>
      <c r="D369" s="7" t="s">
        <v>33</v>
      </c>
      <c r="E369" s="10"/>
      <c r="F369" s="10"/>
      <c r="G369" s="69">
        <v>45</v>
      </c>
      <c r="H369" s="69" t="s">
        <v>16</v>
      </c>
      <c r="I369" s="52">
        <v>15.8</v>
      </c>
      <c r="J369" s="52">
        <f t="shared" si="17"/>
        <v>711</v>
      </c>
      <c r="K369" s="52"/>
      <c r="L369" s="52" t="s">
        <v>43</v>
      </c>
      <c r="M369" s="52" t="s">
        <v>17</v>
      </c>
      <c r="N369" s="52"/>
    </row>
    <row r="370" s="8" customFormat="1" spans="1:14">
      <c r="A370" s="65" t="s">
        <v>275</v>
      </c>
      <c r="B370" s="66">
        <v>46162</v>
      </c>
      <c r="C370" s="67" t="s">
        <v>276</v>
      </c>
      <c r="D370" s="7" t="s">
        <v>34</v>
      </c>
      <c r="E370" s="10">
        <v>12</v>
      </c>
      <c r="F370" s="10">
        <v>2</v>
      </c>
      <c r="G370" s="68">
        <f t="shared" ref="G370:G401" si="19">E370*F370</f>
        <v>24</v>
      </c>
      <c r="H370" s="69" t="s">
        <v>16</v>
      </c>
      <c r="I370" s="52">
        <v>11</v>
      </c>
      <c r="J370" s="52">
        <f t="shared" si="17"/>
        <v>264</v>
      </c>
      <c r="K370" s="52"/>
      <c r="L370" s="7" t="s">
        <v>43</v>
      </c>
      <c r="M370" s="52" t="s">
        <v>17</v>
      </c>
      <c r="N370" s="52" t="s">
        <v>277</v>
      </c>
    </row>
    <row r="371" s="8" customFormat="1" spans="1:14">
      <c r="A371" s="65" t="s">
        <v>275</v>
      </c>
      <c r="B371" s="66">
        <v>46162</v>
      </c>
      <c r="C371" s="67" t="s">
        <v>276</v>
      </c>
      <c r="D371" s="16" t="s">
        <v>15</v>
      </c>
      <c r="E371" s="10">
        <v>12</v>
      </c>
      <c r="F371" s="10">
        <v>2</v>
      </c>
      <c r="G371" s="68">
        <f t="shared" si="19"/>
        <v>24</v>
      </c>
      <c r="H371" s="69" t="s">
        <v>16</v>
      </c>
      <c r="I371" s="52">
        <v>13</v>
      </c>
      <c r="J371" s="52">
        <f t="shared" si="17"/>
        <v>312</v>
      </c>
      <c r="K371" s="52"/>
      <c r="L371" s="7" t="s">
        <v>43</v>
      </c>
      <c r="M371" s="52" t="s">
        <v>17</v>
      </c>
      <c r="N371" s="52" t="s">
        <v>277</v>
      </c>
    </row>
    <row r="372" s="8" customFormat="1" spans="1:14">
      <c r="A372" s="65" t="s">
        <v>275</v>
      </c>
      <c r="B372" s="66">
        <v>46162</v>
      </c>
      <c r="C372" s="67" t="s">
        <v>276</v>
      </c>
      <c r="D372" s="7" t="s">
        <v>33</v>
      </c>
      <c r="E372" s="10">
        <v>12</v>
      </c>
      <c r="F372" s="10">
        <v>2</v>
      </c>
      <c r="G372" s="68">
        <f t="shared" si="19"/>
        <v>24</v>
      </c>
      <c r="H372" s="69" t="s">
        <v>16</v>
      </c>
      <c r="I372" s="52">
        <v>16.5</v>
      </c>
      <c r="J372" s="52">
        <f t="shared" si="17"/>
        <v>396</v>
      </c>
      <c r="K372" s="52"/>
      <c r="L372" s="7" t="s">
        <v>43</v>
      </c>
      <c r="M372" s="52" t="s">
        <v>17</v>
      </c>
      <c r="N372" s="52" t="s">
        <v>277</v>
      </c>
    </row>
    <row r="373" s="8" customFormat="1" spans="1:14">
      <c r="A373" s="65" t="s">
        <v>275</v>
      </c>
      <c r="B373" s="66">
        <v>46162</v>
      </c>
      <c r="C373" s="67" t="s">
        <v>276</v>
      </c>
      <c r="D373" s="7" t="s">
        <v>50</v>
      </c>
      <c r="E373" s="10">
        <v>12</v>
      </c>
      <c r="F373" s="10">
        <v>2</v>
      </c>
      <c r="G373" s="68">
        <f t="shared" si="19"/>
        <v>24</v>
      </c>
      <c r="H373" s="69" t="s">
        <v>16</v>
      </c>
      <c r="I373" s="52">
        <v>20</v>
      </c>
      <c r="J373" s="52">
        <f t="shared" si="17"/>
        <v>480</v>
      </c>
      <c r="K373" s="52"/>
      <c r="L373" s="7" t="s">
        <v>43</v>
      </c>
      <c r="M373" s="52" t="s">
        <v>17</v>
      </c>
      <c r="N373" s="52" t="s">
        <v>277</v>
      </c>
    </row>
    <row r="374" s="8" customFormat="1" spans="1:14">
      <c r="A374" s="65" t="s">
        <v>275</v>
      </c>
      <c r="B374" s="66">
        <v>46162</v>
      </c>
      <c r="C374" s="67" t="s">
        <v>276</v>
      </c>
      <c r="D374" s="7" t="s">
        <v>39</v>
      </c>
      <c r="E374" s="10">
        <v>12</v>
      </c>
      <c r="F374" s="10">
        <v>2</v>
      </c>
      <c r="G374" s="68">
        <f t="shared" si="19"/>
        <v>24</v>
      </c>
      <c r="H374" s="69" t="s">
        <v>16</v>
      </c>
      <c r="I374" s="52">
        <v>16.5</v>
      </c>
      <c r="J374" s="52">
        <f t="shared" si="17"/>
        <v>396</v>
      </c>
      <c r="K374" s="52"/>
      <c r="L374" s="7" t="s">
        <v>43</v>
      </c>
      <c r="M374" s="52" t="s">
        <v>17</v>
      </c>
      <c r="N374" s="52" t="s">
        <v>277</v>
      </c>
    </row>
    <row r="375" s="8" customFormat="1" spans="1:14">
      <c r="A375" s="65" t="s">
        <v>275</v>
      </c>
      <c r="B375" s="66">
        <v>46162</v>
      </c>
      <c r="C375" s="67" t="s">
        <v>276</v>
      </c>
      <c r="D375" s="7" t="s">
        <v>40</v>
      </c>
      <c r="E375" s="10">
        <v>12</v>
      </c>
      <c r="F375" s="10">
        <v>2</v>
      </c>
      <c r="G375" s="68">
        <f t="shared" si="19"/>
        <v>24</v>
      </c>
      <c r="H375" s="69" t="s">
        <v>16</v>
      </c>
      <c r="I375" s="52">
        <v>20.8</v>
      </c>
      <c r="J375" s="52">
        <f t="shared" si="17"/>
        <v>499.2</v>
      </c>
      <c r="K375" s="52"/>
      <c r="L375" s="7" t="s">
        <v>43</v>
      </c>
      <c r="M375" s="52" t="s">
        <v>17</v>
      </c>
      <c r="N375" s="52" t="s">
        <v>277</v>
      </c>
    </row>
    <row r="376" s="8" customFormat="1" spans="1:14">
      <c r="A376" s="65" t="s">
        <v>278</v>
      </c>
      <c r="B376" s="66">
        <v>46162</v>
      </c>
      <c r="C376" s="67" t="s">
        <v>276</v>
      </c>
      <c r="D376" s="17" t="s">
        <v>48</v>
      </c>
      <c r="E376" s="10">
        <v>12</v>
      </c>
      <c r="F376" s="10">
        <v>2</v>
      </c>
      <c r="G376" s="68">
        <f t="shared" si="19"/>
        <v>24</v>
      </c>
      <c r="H376" s="69" t="s">
        <v>16</v>
      </c>
      <c r="I376" s="52">
        <v>16.5</v>
      </c>
      <c r="J376" s="52">
        <f t="shared" si="17"/>
        <v>396</v>
      </c>
      <c r="K376" s="52"/>
      <c r="L376" s="7" t="s">
        <v>43</v>
      </c>
      <c r="M376" s="52" t="s">
        <v>17</v>
      </c>
      <c r="N376" s="52" t="s">
        <v>277</v>
      </c>
    </row>
    <row r="377" s="8" customFormat="1" spans="1:14">
      <c r="A377" s="65" t="s">
        <v>278</v>
      </c>
      <c r="B377" s="66">
        <v>46162</v>
      </c>
      <c r="C377" s="67" t="s">
        <v>276</v>
      </c>
      <c r="D377" s="29" t="s">
        <v>95</v>
      </c>
      <c r="E377" s="10">
        <v>12</v>
      </c>
      <c r="F377" s="10">
        <v>2</v>
      </c>
      <c r="G377" s="68">
        <f t="shared" si="19"/>
        <v>24</v>
      </c>
      <c r="H377" s="69" t="s">
        <v>16</v>
      </c>
      <c r="I377" s="52">
        <v>20.8</v>
      </c>
      <c r="J377" s="52">
        <f t="shared" si="17"/>
        <v>499.2</v>
      </c>
      <c r="K377" s="52"/>
      <c r="L377" s="7" t="s">
        <v>43</v>
      </c>
      <c r="M377" s="52" t="s">
        <v>17</v>
      </c>
      <c r="N377" s="52" t="s">
        <v>277</v>
      </c>
    </row>
    <row r="378" s="8" customFormat="1" spans="1:14">
      <c r="A378" s="74" t="s">
        <v>279</v>
      </c>
      <c r="B378" s="66">
        <v>46164</v>
      </c>
      <c r="C378" s="75" t="s">
        <v>164</v>
      </c>
      <c r="D378" s="65" t="s">
        <v>51</v>
      </c>
      <c r="E378" s="10">
        <v>12</v>
      </c>
      <c r="F378" s="10">
        <v>12</v>
      </c>
      <c r="G378" s="68">
        <f t="shared" si="19"/>
        <v>144</v>
      </c>
      <c r="H378" s="69" t="s">
        <v>16</v>
      </c>
      <c r="I378" s="52">
        <v>12</v>
      </c>
      <c r="J378" s="52">
        <f t="shared" si="17"/>
        <v>1728</v>
      </c>
      <c r="K378" s="52"/>
      <c r="L378" s="7" t="s">
        <v>43</v>
      </c>
      <c r="M378" s="52" t="s">
        <v>17</v>
      </c>
      <c r="N378" s="52"/>
    </row>
    <row r="379" s="8" customFormat="1" spans="1:14">
      <c r="A379" s="74" t="s">
        <v>279</v>
      </c>
      <c r="B379" s="66">
        <v>46164</v>
      </c>
      <c r="C379" s="75" t="s">
        <v>164</v>
      </c>
      <c r="D379" s="17" t="s">
        <v>48</v>
      </c>
      <c r="E379" s="10">
        <v>12</v>
      </c>
      <c r="F379" s="10">
        <v>10</v>
      </c>
      <c r="G379" s="68">
        <f t="shared" si="19"/>
        <v>120</v>
      </c>
      <c r="H379" s="69" t="s">
        <v>16</v>
      </c>
      <c r="I379" s="52">
        <v>14.8</v>
      </c>
      <c r="J379" s="52">
        <f t="shared" si="17"/>
        <v>1776</v>
      </c>
      <c r="K379" s="52"/>
      <c r="L379" s="7" t="s">
        <v>43</v>
      </c>
      <c r="M379" s="52" t="s">
        <v>17</v>
      </c>
      <c r="N379" s="52"/>
    </row>
    <row r="380" s="8" customFormat="1" spans="1:14">
      <c r="A380" s="74" t="s">
        <v>279</v>
      </c>
      <c r="B380" s="66">
        <v>46164</v>
      </c>
      <c r="C380" s="75" t="s">
        <v>164</v>
      </c>
      <c r="D380" s="16" t="s">
        <v>15</v>
      </c>
      <c r="E380" s="10">
        <v>12</v>
      </c>
      <c r="F380" s="10">
        <v>115</v>
      </c>
      <c r="G380" s="68">
        <f t="shared" si="19"/>
        <v>1380</v>
      </c>
      <c r="H380" s="69" t="s">
        <v>16</v>
      </c>
      <c r="I380" s="52">
        <v>11.8</v>
      </c>
      <c r="J380" s="52">
        <f t="shared" si="17"/>
        <v>16284</v>
      </c>
      <c r="K380" s="52"/>
      <c r="L380" s="7" t="s">
        <v>43</v>
      </c>
      <c r="M380" s="52" t="s">
        <v>17</v>
      </c>
      <c r="N380" s="52"/>
    </row>
    <row r="381" s="8" customFormat="1" spans="1:14">
      <c r="A381" s="65" t="s">
        <v>280</v>
      </c>
      <c r="B381" s="66">
        <v>46164</v>
      </c>
      <c r="C381" s="67" t="s">
        <v>281</v>
      </c>
      <c r="D381" s="16" t="s">
        <v>15</v>
      </c>
      <c r="E381" s="10">
        <v>12</v>
      </c>
      <c r="F381" s="10">
        <v>150</v>
      </c>
      <c r="G381" s="68">
        <f t="shared" si="19"/>
        <v>1800</v>
      </c>
      <c r="H381" s="69" t="s">
        <v>16</v>
      </c>
      <c r="I381" s="52">
        <v>11.8</v>
      </c>
      <c r="J381" s="52">
        <f t="shared" si="17"/>
        <v>21240</v>
      </c>
      <c r="K381" s="52"/>
      <c r="L381" s="7" t="s">
        <v>43</v>
      </c>
      <c r="M381" s="52" t="s">
        <v>17</v>
      </c>
      <c r="N381" s="52"/>
    </row>
    <row r="382" s="8" customFormat="1" spans="1:14">
      <c r="A382" s="65" t="s">
        <v>282</v>
      </c>
      <c r="B382" s="66">
        <v>46164</v>
      </c>
      <c r="C382" s="67" t="s">
        <v>52</v>
      </c>
      <c r="D382" s="7" t="s">
        <v>39</v>
      </c>
      <c r="E382" s="10">
        <v>12</v>
      </c>
      <c r="F382" s="10">
        <v>5</v>
      </c>
      <c r="G382" s="68">
        <f t="shared" si="19"/>
        <v>60</v>
      </c>
      <c r="H382" s="69" t="s">
        <v>16</v>
      </c>
      <c r="I382" s="52">
        <v>16</v>
      </c>
      <c r="J382" s="52">
        <f t="shared" si="17"/>
        <v>960</v>
      </c>
      <c r="K382" s="52"/>
      <c r="L382" s="7" t="s">
        <v>43</v>
      </c>
      <c r="M382" s="52" t="s">
        <v>17</v>
      </c>
      <c r="N382" s="52" t="s">
        <v>148</v>
      </c>
    </row>
    <row r="383" s="8" customFormat="1" spans="1:14">
      <c r="A383" s="65" t="s">
        <v>282</v>
      </c>
      <c r="B383" s="66">
        <v>46164</v>
      </c>
      <c r="C383" s="67" t="s">
        <v>52</v>
      </c>
      <c r="D383" s="7" t="s">
        <v>40</v>
      </c>
      <c r="E383" s="10">
        <v>12</v>
      </c>
      <c r="F383" s="10">
        <v>5</v>
      </c>
      <c r="G383" s="68">
        <f t="shared" si="19"/>
        <v>60</v>
      </c>
      <c r="H383" s="69" t="s">
        <v>16</v>
      </c>
      <c r="I383" s="52">
        <v>20</v>
      </c>
      <c r="J383" s="52">
        <f t="shared" si="17"/>
        <v>1200</v>
      </c>
      <c r="K383" s="52"/>
      <c r="L383" s="7" t="s">
        <v>43</v>
      </c>
      <c r="M383" s="52" t="s">
        <v>17</v>
      </c>
      <c r="N383" s="52" t="s">
        <v>148</v>
      </c>
    </row>
    <row r="384" s="8" customFormat="1" spans="1:14">
      <c r="A384" s="65" t="s">
        <v>282</v>
      </c>
      <c r="B384" s="66">
        <v>46164</v>
      </c>
      <c r="C384" s="67" t="s">
        <v>52</v>
      </c>
      <c r="D384" s="16" t="s">
        <v>15</v>
      </c>
      <c r="E384" s="10">
        <v>12</v>
      </c>
      <c r="F384" s="10">
        <v>5</v>
      </c>
      <c r="G384" s="68">
        <f t="shared" si="19"/>
        <v>60</v>
      </c>
      <c r="H384" s="69" t="s">
        <v>16</v>
      </c>
      <c r="I384" s="52">
        <v>12.5</v>
      </c>
      <c r="J384" s="52">
        <f t="shared" si="17"/>
        <v>750</v>
      </c>
      <c r="K384" s="52"/>
      <c r="L384" s="7" t="s">
        <v>43</v>
      </c>
      <c r="M384" s="52" t="s">
        <v>17</v>
      </c>
      <c r="N384" s="52" t="s">
        <v>148</v>
      </c>
    </row>
    <row r="385" s="8" customFormat="1" spans="1:14">
      <c r="A385" s="65" t="s">
        <v>282</v>
      </c>
      <c r="B385" s="66">
        <v>46164</v>
      </c>
      <c r="C385" s="67" t="s">
        <v>52</v>
      </c>
      <c r="D385" s="7" t="s">
        <v>39</v>
      </c>
      <c r="E385" s="10">
        <v>12</v>
      </c>
      <c r="F385" s="10">
        <v>1</v>
      </c>
      <c r="G385" s="68">
        <f t="shared" si="19"/>
        <v>12</v>
      </c>
      <c r="H385" s="69" t="s">
        <v>16</v>
      </c>
      <c r="I385" s="52">
        <v>16</v>
      </c>
      <c r="J385" s="52">
        <f t="shared" si="17"/>
        <v>192</v>
      </c>
      <c r="K385" s="52"/>
      <c r="L385" s="7" t="s">
        <v>43</v>
      </c>
      <c r="M385" s="52" t="s">
        <v>17</v>
      </c>
      <c r="N385" s="52" t="s">
        <v>148</v>
      </c>
    </row>
    <row r="386" s="8" customFormat="1" spans="1:14">
      <c r="A386" s="65" t="s">
        <v>283</v>
      </c>
      <c r="B386" s="66">
        <v>46165</v>
      </c>
      <c r="C386" s="67" t="s">
        <v>75</v>
      </c>
      <c r="D386" s="16" t="s">
        <v>15</v>
      </c>
      <c r="E386" s="10">
        <v>12</v>
      </c>
      <c r="F386" s="10">
        <v>100</v>
      </c>
      <c r="G386" s="68">
        <f t="shared" si="19"/>
        <v>1200</v>
      </c>
      <c r="H386" s="69" t="s">
        <v>16</v>
      </c>
      <c r="I386" s="52">
        <v>11.8</v>
      </c>
      <c r="J386" s="52">
        <f t="shared" si="17"/>
        <v>14160</v>
      </c>
      <c r="K386" s="52"/>
      <c r="L386" s="7" t="s">
        <v>43</v>
      </c>
      <c r="M386" s="52" t="s">
        <v>17</v>
      </c>
      <c r="N386" s="52"/>
    </row>
    <row r="387" s="8" customFormat="1" spans="1:14">
      <c r="A387" s="65" t="s">
        <v>283</v>
      </c>
      <c r="B387" s="66">
        <v>46165</v>
      </c>
      <c r="C387" s="67" t="s">
        <v>75</v>
      </c>
      <c r="D387" s="7" t="s">
        <v>33</v>
      </c>
      <c r="E387" s="10">
        <v>12</v>
      </c>
      <c r="F387" s="10">
        <v>100</v>
      </c>
      <c r="G387" s="68">
        <f t="shared" si="19"/>
        <v>1200</v>
      </c>
      <c r="H387" s="69" t="s">
        <v>16</v>
      </c>
      <c r="I387" s="52">
        <v>14.8</v>
      </c>
      <c r="J387" s="52">
        <f t="shared" si="17"/>
        <v>17760</v>
      </c>
      <c r="K387" s="52"/>
      <c r="L387" s="7" t="s">
        <v>43</v>
      </c>
      <c r="M387" s="52" t="s">
        <v>17</v>
      </c>
      <c r="N387" s="52"/>
    </row>
    <row r="388" s="8" customFormat="1" spans="1:14">
      <c r="A388" s="65" t="s">
        <v>284</v>
      </c>
      <c r="B388" s="66">
        <v>46166</v>
      </c>
      <c r="C388" s="67" t="s">
        <v>285</v>
      </c>
      <c r="D388" s="7" t="s">
        <v>34</v>
      </c>
      <c r="E388" s="10">
        <v>12</v>
      </c>
      <c r="F388" s="10">
        <v>5</v>
      </c>
      <c r="G388" s="68">
        <f t="shared" si="19"/>
        <v>60</v>
      </c>
      <c r="H388" s="69" t="s">
        <v>16</v>
      </c>
      <c r="I388" s="52">
        <v>9.8</v>
      </c>
      <c r="J388" s="52">
        <f t="shared" si="17"/>
        <v>588</v>
      </c>
      <c r="K388" s="52"/>
      <c r="L388" s="7" t="s">
        <v>43</v>
      </c>
      <c r="M388" s="52" t="s">
        <v>17</v>
      </c>
      <c r="N388" s="52"/>
    </row>
    <row r="389" s="8" customFormat="1" spans="1:14">
      <c r="A389" s="65" t="s">
        <v>284</v>
      </c>
      <c r="B389" s="66">
        <v>46166</v>
      </c>
      <c r="C389" s="67" t="s">
        <v>285</v>
      </c>
      <c r="D389" s="16" t="s">
        <v>15</v>
      </c>
      <c r="E389" s="10">
        <v>12</v>
      </c>
      <c r="F389" s="10">
        <v>5</v>
      </c>
      <c r="G389" s="68">
        <f t="shared" si="19"/>
        <v>60</v>
      </c>
      <c r="H389" s="69" t="s">
        <v>16</v>
      </c>
      <c r="I389" s="52">
        <v>11.8</v>
      </c>
      <c r="J389" s="52">
        <f t="shared" si="17"/>
        <v>708</v>
      </c>
      <c r="K389" s="52"/>
      <c r="L389" s="7" t="s">
        <v>43</v>
      </c>
      <c r="M389" s="52" t="s">
        <v>17</v>
      </c>
      <c r="N389" s="52"/>
    </row>
    <row r="390" s="8" customFormat="1" spans="1:14">
      <c r="A390" s="65" t="s">
        <v>286</v>
      </c>
      <c r="B390" s="66">
        <v>46166</v>
      </c>
      <c r="C390" s="67" t="s">
        <v>287</v>
      </c>
      <c r="D390" s="7" t="s">
        <v>34</v>
      </c>
      <c r="E390" s="10">
        <v>12</v>
      </c>
      <c r="F390" s="10">
        <v>40</v>
      </c>
      <c r="G390" s="68">
        <f t="shared" si="19"/>
        <v>480</v>
      </c>
      <c r="H390" s="69" t="s">
        <v>16</v>
      </c>
      <c r="I390" s="52">
        <v>9.8</v>
      </c>
      <c r="J390" s="52">
        <f t="shared" ref="J390:J400" si="20">G390*I390</f>
        <v>4704</v>
      </c>
      <c r="K390" s="52"/>
      <c r="L390" s="7" t="s">
        <v>43</v>
      </c>
      <c r="M390" s="52" t="s">
        <v>17</v>
      </c>
      <c r="N390" s="52"/>
    </row>
    <row r="391" s="8" customFormat="1" spans="1:14">
      <c r="A391" s="65" t="s">
        <v>248</v>
      </c>
      <c r="B391" s="66">
        <v>46166</v>
      </c>
      <c r="C391" s="67" t="s">
        <v>249</v>
      </c>
      <c r="D391" s="7" t="s">
        <v>39</v>
      </c>
      <c r="E391" s="10">
        <v>12</v>
      </c>
      <c r="F391" s="10">
        <v>30</v>
      </c>
      <c r="G391" s="68">
        <f t="shared" si="19"/>
        <v>360</v>
      </c>
      <c r="H391" s="69" t="s">
        <v>16</v>
      </c>
      <c r="I391" s="52">
        <v>14.8</v>
      </c>
      <c r="J391" s="52">
        <f t="shared" si="20"/>
        <v>5328</v>
      </c>
      <c r="K391" s="52"/>
      <c r="L391" s="7" t="s">
        <v>43</v>
      </c>
      <c r="M391" s="52" t="s">
        <v>17</v>
      </c>
      <c r="N391" s="52"/>
    </row>
    <row r="392" s="8" customFormat="1" spans="1:14">
      <c r="A392" s="65" t="s">
        <v>288</v>
      </c>
      <c r="B392" s="66">
        <v>46166</v>
      </c>
      <c r="C392" s="67" t="s">
        <v>289</v>
      </c>
      <c r="D392" s="16" t="s">
        <v>15</v>
      </c>
      <c r="E392" s="10">
        <v>12</v>
      </c>
      <c r="F392" s="10">
        <v>45</v>
      </c>
      <c r="G392" s="68">
        <f t="shared" si="19"/>
        <v>540</v>
      </c>
      <c r="H392" s="69" t="s">
        <v>16</v>
      </c>
      <c r="I392" s="52">
        <v>11.8</v>
      </c>
      <c r="J392" s="52">
        <f t="shared" si="20"/>
        <v>6372</v>
      </c>
      <c r="K392" s="52"/>
      <c r="L392" s="7" t="s">
        <v>43</v>
      </c>
      <c r="M392" s="52" t="s">
        <v>17</v>
      </c>
      <c r="N392" s="52"/>
    </row>
    <row r="393" s="8" customFormat="1" spans="1:14">
      <c r="A393" s="65" t="s">
        <v>290</v>
      </c>
      <c r="B393" s="66">
        <v>46166</v>
      </c>
      <c r="C393" s="67" t="s">
        <v>291</v>
      </c>
      <c r="D393" s="7" t="s">
        <v>34</v>
      </c>
      <c r="E393" s="10">
        <v>12</v>
      </c>
      <c r="F393" s="10">
        <v>10</v>
      </c>
      <c r="G393" s="68">
        <f t="shared" si="19"/>
        <v>120</v>
      </c>
      <c r="H393" s="69" t="s">
        <v>16</v>
      </c>
      <c r="I393" s="52">
        <v>9.8</v>
      </c>
      <c r="J393" s="52">
        <f t="shared" si="20"/>
        <v>1176</v>
      </c>
      <c r="K393" s="52"/>
      <c r="L393" s="7" t="s">
        <v>43</v>
      </c>
      <c r="M393" s="52" t="s">
        <v>17</v>
      </c>
      <c r="N393" s="52"/>
    </row>
    <row r="394" s="8" customFormat="1" spans="1:14">
      <c r="A394" s="65" t="s">
        <v>290</v>
      </c>
      <c r="B394" s="66">
        <v>46166</v>
      </c>
      <c r="C394" s="67" t="s">
        <v>291</v>
      </c>
      <c r="D394" s="7" t="s">
        <v>33</v>
      </c>
      <c r="E394" s="10">
        <v>12</v>
      </c>
      <c r="F394" s="10">
        <v>10</v>
      </c>
      <c r="G394" s="68">
        <f t="shared" si="19"/>
        <v>120</v>
      </c>
      <c r="H394" s="69" t="s">
        <v>16</v>
      </c>
      <c r="I394" s="52">
        <v>14.8</v>
      </c>
      <c r="J394" s="52">
        <f t="shared" si="20"/>
        <v>1776</v>
      </c>
      <c r="K394" s="52"/>
      <c r="L394" s="7" t="s">
        <v>43</v>
      </c>
      <c r="M394" s="52" t="s">
        <v>17</v>
      </c>
      <c r="N394" s="52"/>
    </row>
    <row r="395" s="8" customFormat="1" spans="1:14">
      <c r="A395" s="65" t="s">
        <v>259</v>
      </c>
      <c r="B395" s="66">
        <v>46166</v>
      </c>
      <c r="C395" s="67" t="s">
        <v>77</v>
      </c>
      <c r="D395" s="7" t="s">
        <v>34</v>
      </c>
      <c r="E395" s="10">
        <v>12</v>
      </c>
      <c r="F395" s="10">
        <v>50</v>
      </c>
      <c r="G395" s="68">
        <f t="shared" si="19"/>
        <v>600</v>
      </c>
      <c r="H395" s="69" t="s">
        <v>16</v>
      </c>
      <c r="I395" s="52">
        <v>11.5</v>
      </c>
      <c r="J395" s="52">
        <f t="shared" si="20"/>
        <v>6900</v>
      </c>
      <c r="K395" s="52"/>
      <c r="L395" s="7" t="s">
        <v>43</v>
      </c>
      <c r="M395" s="52"/>
      <c r="N395" s="52"/>
    </row>
    <row r="396" s="8" customFormat="1" spans="1:14">
      <c r="A396" s="65" t="s">
        <v>259</v>
      </c>
      <c r="B396" s="66">
        <v>46166</v>
      </c>
      <c r="C396" s="67" t="s">
        <v>77</v>
      </c>
      <c r="D396" s="16" t="s">
        <v>15</v>
      </c>
      <c r="E396" s="10">
        <v>12</v>
      </c>
      <c r="F396" s="10">
        <v>50</v>
      </c>
      <c r="G396" s="68">
        <f t="shared" si="19"/>
        <v>600</v>
      </c>
      <c r="H396" s="69" t="s">
        <v>16</v>
      </c>
      <c r="I396" s="52">
        <v>14</v>
      </c>
      <c r="J396" s="52">
        <f t="shared" si="20"/>
        <v>8400</v>
      </c>
      <c r="K396" s="52"/>
      <c r="L396" s="7" t="s">
        <v>43</v>
      </c>
      <c r="M396" s="52"/>
      <c r="N396" s="52"/>
    </row>
    <row r="397" s="8" customFormat="1" spans="1:14">
      <c r="A397" s="65" t="s">
        <v>259</v>
      </c>
      <c r="B397" s="66">
        <v>46166</v>
      </c>
      <c r="C397" s="67" t="s">
        <v>77</v>
      </c>
      <c r="D397" s="7" t="s">
        <v>33</v>
      </c>
      <c r="E397" s="10">
        <v>12</v>
      </c>
      <c r="F397" s="10">
        <v>50</v>
      </c>
      <c r="G397" s="68">
        <f t="shared" si="19"/>
        <v>600</v>
      </c>
      <c r="H397" s="69" t="s">
        <v>16</v>
      </c>
      <c r="I397" s="52">
        <v>18</v>
      </c>
      <c r="J397" s="52">
        <f t="shared" si="20"/>
        <v>10800</v>
      </c>
      <c r="K397" s="52"/>
      <c r="L397" s="7" t="s">
        <v>43</v>
      </c>
      <c r="M397" s="52"/>
      <c r="N397" s="52"/>
    </row>
    <row r="398" s="8" customFormat="1" spans="1:14">
      <c r="A398" s="65" t="s">
        <v>259</v>
      </c>
      <c r="B398" s="66">
        <v>46166</v>
      </c>
      <c r="C398" s="67" t="s">
        <v>77</v>
      </c>
      <c r="D398" s="17" t="s">
        <v>48</v>
      </c>
      <c r="E398" s="10">
        <v>12</v>
      </c>
      <c r="F398" s="10">
        <v>50</v>
      </c>
      <c r="G398" s="68">
        <f t="shared" si="19"/>
        <v>600</v>
      </c>
      <c r="H398" s="69" t="s">
        <v>16</v>
      </c>
      <c r="I398" s="52">
        <v>17.5</v>
      </c>
      <c r="J398" s="52">
        <f t="shared" si="20"/>
        <v>10500</v>
      </c>
      <c r="K398" s="52"/>
      <c r="L398" s="7" t="s">
        <v>43</v>
      </c>
      <c r="M398" s="52"/>
      <c r="N398" s="52"/>
    </row>
    <row r="399" s="8" customFormat="1" spans="1:14">
      <c r="A399" s="65" t="s">
        <v>292</v>
      </c>
      <c r="B399" s="66">
        <v>46166</v>
      </c>
      <c r="C399" s="67" t="s">
        <v>75</v>
      </c>
      <c r="D399" s="7" t="s">
        <v>34</v>
      </c>
      <c r="E399" s="10">
        <v>12</v>
      </c>
      <c r="F399" s="10">
        <v>50</v>
      </c>
      <c r="G399" s="68">
        <f t="shared" si="19"/>
        <v>600</v>
      </c>
      <c r="H399" s="69" t="s">
        <v>16</v>
      </c>
      <c r="I399" s="52">
        <v>9.8</v>
      </c>
      <c r="J399" s="52">
        <f t="shared" si="20"/>
        <v>5880</v>
      </c>
      <c r="K399" s="52"/>
      <c r="L399" s="7" t="s">
        <v>43</v>
      </c>
      <c r="M399" s="52" t="s">
        <v>17</v>
      </c>
      <c r="N399" s="52"/>
    </row>
    <row r="400" s="8" customFormat="1" spans="1:14">
      <c r="A400" s="65" t="s">
        <v>293</v>
      </c>
      <c r="B400" s="66">
        <v>46166</v>
      </c>
      <c r="C400" s="67" t="s">
        <v>75</v>
      </c>
      <c r="D400" s="7" t="s">
        <v>40</v>
      </c>
      <c r="E400" s="10">
        <v>12</v>
      </c>
      <c r="F400" s="10">
        <v>31</v>
      </c>
      <c r="G400" s="68">
        <f t="shared" si="19"/>
        <v>372</v>
      </c>
      <c r="H400" s="69" t="s">
        <v>16</v>
      </c>
      <c r="I400" s="52">
        <v>17.5</v>
      </c>
      <c r="J400" s="52">
        <f t="shared" si="20"/>
        <v>6510</v>
      </c>
      <c r="K400" s="52"/>
      <c r="L400" s="7" t="s">
        <v>43</v>
      </c>
      <c r="M400" s="52" t="s">
        <v>17</v>
      </c>
      <c r="N400" s="52"/>
    </row>
    <row r="401" s="8" customFormat="1" spans="1:14">
      <c r="A401" s="65" t="s">
        <v>294</v>
      </c>
      <c r="B401" s="66">
        <v>46167</v>
      </c>
      <c r="C401" s="67" t="s">
        <v>295</v>
      </c>
      <c r="D401" s="16" t="s">
        <v>15</v>
      </c>
      <c r="E401" s="10">
        <v>12</v>
      </c>
      <c r="F401" s="10">
        <v>20</v>
      </c>
      <c r="G401" s="69">
        <f t="shared" si="19"/>
        <v>240</v>
      </c>
      <c r="H401" s="69" t="s">
        <v>16</v>
      </c>
      <c r="I401" s="52">
        <v>12.7</v>
      </c>
      <c r="J401" s="52">
        <f>G401*I401+K401</f>
        <v>3148</v>
      </c>
      <c r="K401" s="52">
        <v>100</v>
      </c>
      <c r="L401" s="7" t="s">
        <v>43</v>
      </c>
      <c r="M401" s="52" t="s">
        <v>17</v>
      </c>
      <c r="N401" s="52"/>
    </row>
    <row r="402" s="8" customFormat="1" hidden="1" spans="1:14">
      <c r="A402" s="65" t="s">
        <v>296</v>
      </c>
      <c r="B402" s="66">
        <v>46167</v>
      </c>
      <c r="C402" s="67" t="s">
        <v>73</v>
      </c>
      <c r="D402" s="7" t="s">
        <v>33</v>
      </c>
      <c r="E402" s="10"/>
      <c r="F402" s="10"/>
      <c r="G402" s="69">
        <v>50</v>
      </c>
      <c r="H402" s="69" t="s">
        <v>16</v>
      </c>
      <c r="I402" s="52">
        <v>15.8</v>
      </c>
      <c r="J402" s="52">
        <f t="shared" ref="J402:J433" si="21">G402*I402</f>
        <v>790</v>
      </c>
      <c r="K402" s="52"/>
      <c r="L402" s="52" t="s">
        <v>43</v>
      </c>
      <c r="M402" s="52" t="s">
        <v>17</v>
      </c>
      <c r="N402" s="52"/>
    </row>
    <row r="403" s="8" customFormat="1" spans="1:14">
      <c r="A403" s="65" t="s">
        <v>297</v>
      </c>
      <c r="B403" s="66">
        <v>46167</v>
      </c>
      <c r="C403" s="67" t="s">
        <v>77</v>
      </c>
      <c r="D403" s="16" t="s">
        <v>15</v>
      </c>
      <c r="E403" s="10">
        <v>12</v>
      </c>
      <c r="F403" s="10">
        <v>20</v>
      </c>
      <c r="G403" s="68">
        <f>E403*F403</f>
        <v>240</v>
      </c>
      <c r="H403" s="69" t="s">
        <v>16</v>
      </c>
      <c r="I403" s="52">
        <v>14</v>
      </c>
      <c r="J403" s="52">
        <f t="shared" si="21"/>
        <v>3360</v>
      </c>
      <c r="K403" s="52"/>
      <c r="L403" s="7" t="s">
        <v>43</v>
      </c>
      <c r="M403" s="52"/>
      <c r="N403" s="52"/>
    </row>
    <row r="404" s="8" customFormat="1" spans="1:14">
      <c r="A404" s="65" t="s">
        <v>297</v>
      </c>
      <c r="B404" s="66">
        <v>46167</v>
      </c>
      <c r="C404" s="67" t="s">
        <v>77</v>
      </c>
      <c r="D404" s="17" t="s">
        <v>48</v>
      </c>
      <c r="E404" s="10">
        <v>12</v>
      </c>
      <c r="F404" s="10">
        <v>20</v>
      </c>
      <c r="G404" s="68">
        <f>E404*F404</f>
        <v>240</v>
      </c>
      <c r="H404" s="69" t="s">
        <v>16</v>
      </c>
      <c r="I404" s="52">
        <v>17.5</v>
      </c>
      <c r="J404" s="52">
        <f t="shared" si="21"/>
        <v>4200</v>
      </c>
      <c r="K404" s="52"/>
      <c r="L404" s="7" t="s">
        <v>43</v>
      </c>
      <c r="M404" s="52"/>
      <c r="N404" s="52"/>
    </row>
    <row r="405" s="8" customFormat="1" hidden="1" spans="1:14">
      <c r="A405" s="65" t="s">
        <v>298</v>
      </c>
      <c r="B405" s="66">
        <v>46168</v>
      </c>
      <c r="C405" s="67" t="s">
        <v>73</v>
      </c>
      <c r="D405" s="7" t="s">
        <v>34</v>
      </c>
      <c r="E405" s="10">
        <v>12</v>
      </c>
      <c r="F405" s="10">
        <v>2</v>
      </c>
      <c r="G405" s="69">
        <v>24</v>
      </c>
      <c r="H405" s="69" t="s">
        <v>16</v>
      </c>
      <c r="I405" s="52">
        <v>10.5</v>
      </c>
      <c r="J405" s="52">
        <f t="shared" si="21"/>
        <v>252</v>
      </c>
      <c r="K405" s="52"/>
      <c r="L405" s="52" t="s">
        <v>43</v>
      </c>
      <c r="M405" s="52" t="s">
        <v>17</v>
      </c>
      <c r="N405" s="52"/>
    </row>
    <row r="406" s="8" customFormat="1" hidden="1" spans="1:14">
      <c r="A406" s="65" t="s">
        <v>298</v>
      </c>
      <c r="B406" s="66">
        <v>46168</v>
      </c>
      <c r="C406" s="67" t="s">
        <v>73</v>
      </c>
      <c r="D406" s="16" t="s">
        <v>15</v>
      </c>
      <c r="E406" s="10">
        <v>12</v>
      </c>
      <c r="F406" s="10">
        <v>4</v>
      </c>
      <c r="G406" s="69">
        <v>48</v>
      </c>
      <c r="H406" s="69" t="s">
        <v>16</v>
      </c>
      <c r="I406" s="52">
        <v>12.3</v>
      </c>
      <c r="J406" s="52">
        <f t="shared" si="21"/>
        <v>590.4</v>
      </c>
      <c r="K406" s="52"/>
      <c r="L406" s="52" t="s">
        <v>43</v>
      </c>
      <c r="M406" s="52" t="s">
        <v>17</v>
      </c>
      <c r="N406" s="52"/>
    </row>
    <row r="407" s="8" customFormat="1" hidden="1" spans="1:14">
      <c r="A407" s="65" t="s">
        <v>298</v>
      </c>
      <c r="B407" s="66">
        <v>46168</v>
      </c>
      <c r="C407" s="67" t="s">
        <v>73</v>
      </c>
      <c r="D407" s="29" t="s">
        <v>32</v>
      </c>
      <c r="E407" s="10">
        <v>12</v>
      </c>
      <c r="F407" s="10">
        <v>3</v>
      </c>
      <c r="G407" s="69">
        <v>36</v>
      </c>
      <c r="H407" s="69" t="s">
        <v>16</v>
      </c>
      <c r="I407" s="52">
        <v>15.8</v>
      </c>
      <c r="J407" s="52">
        <f t="shared" si="21"/>
        <v>568.8</v>
      </c>
      <c r="K407" s="52"/>
      <c r="L407" s="52" t="s">
        <v>43</v>
      </c>
      <c r="M407" s="52" t="s">
        <v>17</v>
      </c>
      <c r="N407" s="52"/>
    </row>
    <row r="408" s="8" customFormat="1" spans="1:14">
      <c r="A408" s="65" t="s">
        <v>271</v>
      </c>
      <c r="B408" s="66">
        <v>46169</v>
      </c>
      <c r="C408" s="67" t="s">
        <v>240</v>
      </c>
      <c r="D408" s="7" t="s">
        <v>44</v>
      </c>
      <c r="E408" s="10">
        <v>12</v>
      </c>
      <c r="F408" s="10">
        <v>18</v>
      </c>
      <c r="G408" s="68">
        <f>E408*F408</f>
        <v>216</v>
      </c>
      <c r="H408" s="69" t="s">
        <v>16</v>
      </c>
      <c r="I408" s="52">
        <v>11.8</v>
      </c>
      <c r="J408" s="52">
        <f t="shared" si="21"/>
        <v>2548.8</v>
      </c>
      <c r="K408" s="52"/>
      <c r="L408" s="7" t="s">
        <v>43</v>
      </c>
      <c r="M408" s="52" t="s">
        <v>17</v>
      </c>
      <c r="N408" s="52"/>
    </row>
    <row r="409" s="8" customFormat="1" spans="1:14">
      <c r="A409" s="65" t="s">
        <v>299</v>
      </c>
      <c r="B409" s="66">
        <v>46169</v>
      </c>
      <c r="C409" s="67" t="s">
        <v>240</v>
      </c>
      <c r="D409" s="65" t="s">
        <v>300</v>
      </c>
      <c r="E409" s="10">
        <v>12</v>
      </c>
      <c r="F409" s="10">
        <v>15</v>
      </c>
      <c r="G409" s="68">
        <f>E409*F409</f>
        <v>180</v>
      </c>
      <c r="H409" s="69" t="s">
        <v>16</v>
      </c>
      <c r="I409" s="52">
        <v>7.8</v>
      </c>
      <c r="J409" s="52">
        <f t="shared" si="21"/>
        <v>1404</v>
      </c>
      <c r="K409" s="52"/>
      <c r="L409" s="7" t="s">
        <v>43</v>
      </c>
      <c r="M409" s="52" t="s">
        <v>17</v>
      </c>
      <c r="N409" s="52"/>
    </row>
    <row r="410" s="8" customFormat="1" hidden="1" spans="1:14">
      <c r="A410" s="65" t="s">
        <v>301</v>
      </c>
      <c r="B410" s="66">
        <v>46169</v>
      </c>
      <c r="C410" s="67" t="s">
        <v>302</v>
      </c>
      <c r="D410" s="16" t="s">
        <v>15</v>
      </c>
      <c r="E410" s="10">
        <v>12</v>
      </c>
      <c r="F410" s="10">
        <v>20</v>
      </c>
      <c r="G410" s="68">
        <f>E410*F410</f>
        <v>240</v>
      </c>
      <c r="H410" s="69" t="s">
        <v>16</v>
      </c>
      <c r="I410" s="52">
        <v>12.3</v>
      </c>
      <c r="J410" s="52">
        <f t="shared" si="21"/>
        <v>2952</v>
      </c>
      <c r="K410" s="52"/>
      <c r="L410" s="52" t="s">
        <v>43</v>
      </c>
      <c r="M410" s="52" t="s">
        <v>17</v>
      </c>
      <c r="N410" s="52"/>
    </row>
    <row r="411" s="8" customFormat="1" spans="1:14">
      <c r="A411" s="65" t="s">
        <v>303</v>
      </c>
      <c r="B411" s="66">
        <v>46169</v>
      </c>
      <c r="C411" s="67" t="s">
        <v>304</v>
      </c>
      <c r="D411" s="7" t="s">
        <v>53</v>
      </c>
      <c r="E411" s="10">
        <v>12</v>
      </c>
      <c r="F411" s="10">
        <v>3</v>
      </c>
      <c r="G411" s="68">
        <f>E411*F411</f>
        <v>36</v>
      </c>
      <c r="H411" s="69" t="s">
        <v>16</v>
      </c>
      <c r="I411" s="52">
        <v>13.2</v>
      </c>
      <c r="J411" s="52">
        <f t="shared" si="21"/>
        <v>475.2</v>
      </c>
      <c r="K411" s="52"/>
      <c r="L411" s="7" t="s">
        <v>43</v>
      </c>
      <c r="M411" s="52" t="s">
        <v>17</v>
      </c>
      <c r="N411" s="52"/>
    </row>
    <row r="412" s="8" customFormat="1" hidden="1" spans="1:14">
      <c r="A412" s="65" t="s">
        <v>305</v>
      </c>
      <c r="B412" s="66">
        <v>46169</v>
      </c>
      <c r="C412" s="67" t="s">
        <v>73</v>
      </c>
      <c r="D412" s="7" t="s">
        <v>40</v>
      </c>
      <c r="E412" s="10"/>
      <c r="F412" s="10"/>
      <c r="G412" s="69">
        <v>93</v>
      </c>
      <c r="H412" s="69" t="s">
        <v>16</v>
      </c>
      <c r="I412" s="52">
        <v>18.3</v>
      </c>
      <c r="J412" s="52">
        <f t="shared" si="21"/>
        <v>1701.9</v>
      </c>
      <c r="K412" s="52"/>
      <c r="L412" s="52" t="s">
        <v>43</v>
      </c>
      <c r="M412" s="52" t="s">
        <v>17</v>
      </c>
      <c r="N412" s="52"/>
    </row>
    <row r="413" s="8" customFormat="1" spans="1:14">
      <c r="A413" s="65" t="s">
        <v>306</v>
      </c>
      <c r="B413" s="66">
        <v>46170</v>
      </c>
      <c r="C413" s="67" t="s">
        <v>52</v>
      </c>
      <c r="D413" s="16" t="s">
        <v>15</v>
      </c>
      <c r="E413" s="10">
        <v>12</v>
      </c>
      <c r="F413" s="10">
        <v>5</v>
      </c>
      <c r="G413" s="68">
        <f t="shared" ref="G413:G434" si="22">E413*F413</f>
        <v>60</v>
      </c>
      <c r="H413" s="69" t="s">
        <v>16</v>
      </c>
      <c r="I413" s="52">
        <v>12.5</v>
      </c>
      <c r="J413" s="52">
        <f t="shared" si="21"/>
        <v>750</v>
      </c>
      <c r="K413" s="52"/>
      <c r="L413" s="7" t="s">
        <v>43</v>
      </c>
      <c r="M413" s="52" t="s">
        <v>17</v>
      </c>
      <c r="N413" s="52" t="s">
        <v>148</v>
      </c>
    </row>
    <row r="414" s="8" customFormat="1" spans="1:14">
      <c r="A414" s="65" t="s">
        <v>306</v>
      </c>
      <c r="B414" s="66">
        <v>46170</v>
      </c>
      <c r="C414" s="67" t="s">
        <v>52</v>
      </c>
      <c r="D414" s="7" t="s">
        <v>34</v>
      </c>
      <c r="E414" s="10">
        <v>12</v>
      </c>
      <c r="F414" s="10">
        <v>5</v>
      </c>
      <c r="G414" s="68">
        <f t="shared" si="22"/>
        <v>60</v>
      </c>
      <c r="H414" s="69" t="s">
        <v>16</v>
      </c>
      <c r="I414" s="52">
        <v>10.8</v>
      </c>
      <c r="J414" s="52">
        <f t="shared" si="21"/>
        <v>648</v>
      </c>
      <c r="K414" s="52"/>
      <c r="L414" s="7" t="s">
        <v>43</v>
      </c>
      <c r="M414" s="52" t="s">
        <v>17</v>
      </c>
      <c r="N414" s="52" t="s">
        <v>148</v>
      </c>
    </row>
    <row r="415" s="8" customFormat="1" spans="1:14">
      <c r="A415" s="65" t="s">
        <v>306</v>
      </c>
      <c r="B415" s="66">
        <v>46170</v>
      </c>
      <c r="C415" s="67" t="s">
        <v>52</v>
      </c>
      <c r="D415" s="7" t="s">
        <v>39</v>
      </c>
      <c r="E415" s="10">
        <v>12</v>
      </c>
      <c r="F415" s="10">
        <v>7</v>
      </c>
      <c r="G415" s="68">
        <f t="shared" si="22"/>
        <v>84</v>
      </c>
      <c r="H415" s="69" t="s">
        <v>16</v>
      </c>
      <c r="I415" s="52">
        <v>16</v>
      </c>
      <c r="J415" s="52">
        <f t="shared" si="21"/>
        <v>1344</v>
      </c>
      <c r="K415" s="52"/>
      <c r="L415" s="7" t="s">
        <v>43</v>
      </c>
      <c r="M415" s="52" t="s">
        <v>17</v>
      </c>
      <c r="N415" s="52" t="s">
        <v>148</v>
      </c>
    </row>
    <row r="416" s="8" customFormat="1" hidden="1" spans="1:14">
      <c r="A416" s="65" t="s">
        <v>307</v>
      </c>
      <c r="B416" s="66">
        <v>46170</v>
      </c>
      <c r="C416" s="67" t="s">
        <v>92</v>
      </c>
      <c r="D416" s="7" t="s">
        <v>33</v>
      </c>
      <c r="E416" s="10">
        <v>12</v>
      </c>
      <c r="F416" s="10">
        <v>50</v>
      </c>
      <c r="G416" s="68">
        <f t="shared" si="22"/>
        <v>600</v>
      </c>
      <c r="H416" s="69" t="s">
        <v>16</v>
      </c>
      <c r="I416" s="52">
        <v>15.8</v>
      </c>
      <c r="J416" s="52">
        <f t="shared" si="21"/>
        <v>9480</v>
      </c>
      <c r="K416" s="52"/>
      <c r="L416" s="52" t="s">
        <v>17</v>
      </c>
      <c r="M416" s="52" t="s">
        <v>17</v>
      </c>
      <c r="N416" s="52"/>
    </row>
    <row r="417" s="8" customFormat="1" spans="1:14">
      <c r="A417" s="65" t="s">
        <v>308</v>
      </c>
      <c r="B417" s="66">
        <v>46170</v>
      </c>
      <c r="C417" s="67" t="s">
        <v>52</v>
      </c>
      <c r="D417" s="16" t="s">
        <v>15</v>
      </c>
      <c r="E417" s="10">
        <v>12</v>
      </c>
      <c r="F417" s="10">
        <v>25</v>
      </c>
      <c r="G417" s="68">
        <f t="shared" si="22"/>
        <v>300</v>
      </c>
      <c r="H417" s="69" t="s">
        <v>16</v>
      </c>
      <c r="I417" s="52">
        <v>12.5</v>
      </c>
      <c r="J417" s="52">
        <f t="shared" si="21"/>
        <v>3750</v>
      </c>
      <c r="K417" s="52"/>
      <c r="L417" s="7" t="s">
        <v>43</v>
      </c>
      <c r="M417" s="52" t="s">
        <v>17</v>
      </c>
      <c r="N417" s="52" t="s">
        <v>148</v>
      </c>
    </row>
    <row r="418" s="8" customFormat="1" spans="1:14">
      <c r="A418" s="65" t="s">
        <v>308</v>
      </c>
      <c r="B418" s="66">
        <v>46170</v>
      </c>
      <c r="C418" s="67" t="s">
        <v>52</v>
      </c>
      <c r="D418" s="26" t="s">
        <v>15</v>
      </c>
      <c r="E418" s="10">
        <v>12</v>
      </c>
      <c r="F418" s="10">
        <v>25</v>
      </c>
      <c r="G418" s="68">
        <f t="shared" si="22"/>
        <v>300</v>
      </c>
      <c r="H418" s="69" t="s">
        <v>16</v>
      </c>
      <c r="I418" s="52">
        <v>12.5</v>
      </c>
      <c r="J418" s="52">
        <f t="shared" si="21"/>
        <v>3750</v>
      </c>
      <c r="K418" s="52"/>
      <c r="L418" s="7" t="s">
        <v>43</v>
      </c>
      <c r="M418" s="52" t="s">
        <v>17</v>
      </c>
      <c r="N418" s="7" t="s">
        <v>106</v>
      </c>
    </row>
    <row r="419" s="8" customFormat="1" spans="1:14">
      <c r="A419" s="65" t="s">
        <v>309</v>
      </c>
      <c r="B419" s="66">
        <v>46170</v>
      </c>
      <c r="C419" s="67" t="s">
        <v>52</v>
      </c>
      <c r="D419" s="7" t="s">
        <v>39</v>
      </c>
      <c r="E419" s="10">
        <v>12</v>
      </c>
      <c r="F419" s="10">
        <v>30</v>
      </c>
      <c r="G419" s="68">
        <f t="shared" si="22"/>
        <v>360</v>
      </c>
      <c r="H419" s="69" t="s">
        <v>16</v>
      </c>
      <c r="I419" s="52">
        <v>16</v>
      </c>
      <c r="J419" s="52">
        <f t="shared" si="21"/>
        <v>5760</v>
      </c>
      <c r="K419" s="52"/>
      <c r="L419" s="7" t="s">
        <v>43</v>
      </c>
      <c r="M419" s="52" t="s">
        <v>17</v>
      </c>
      <c r="N419" s="52" t="s">
        <v>148</v>
      </c>
    </row>
    <row r="420" s="8" customFormat="1" spans="1:14">
      <c r="A420" s="65" t="s">
        <v>310</v>
      </c>
      <c r="B420" s="66">
        <v>46170</v>
      </c>
      <c r="C420" s="67" t="s">
        <v>311</v>
      </c>
      <c r="D420" s="7" t="s">
        <v>33</v>
      </c>
      <c r="E420" s="10">
        <v>12</v>
      </c>
      <c r="F420" s="10">
        <v>10</v>
      </c>
      <c r="G420" s="68">
        <f t="shared" si="22"/>
        <v>120</v>
      </c>
      <c r="H420" s="69" t="s">
        <v>16</v>
      </c>
      <c r="I420" s="52">
        <v>14.8</v>
      </c>
      <c r="J420" s="52">
        <f t="shared" si="21"/>
        <v>1776</v>
      </c>
      <c r="K420" s="52"/>
      <c r="L420" s="7" t="s">
        <v>43</v>
      </c>
      <c r="M420" s="52" t="s">
        <v>17</v>
      </c>
      <c r="N420" s="52"/>
    </row>
    <row r="421" s="8" customFormat="1" spans="1:14">
      <c r="A421" s="65" t="s">
        <v>310</v>
      </c>
      <c r="B421" s="66">
        <v>46170</v>
      </c>
      <c r="C421" s="67" t="s">
        <v>311</v>
      </c>
      <c r="D421" s="29" t="s">
        <v>95</v>
      </c>
      <c r="E421" s="10">
        <v>12</v>
      </c>
      <c r="F421" s="10">
        <v>10</v>
      </c>
      <c r="G421" s="68">
        <f t="shared" si="22"/>
        <v>120</v>
      </c>
      <c r="H421" s="69" t="s">
        <v>16</v>
      </c>
      <c r="I421" s="52">
        <v>17.5</v>
      </c>
      <c r="J421" s="52">
        <f t="shared" si="21"/>
        <v>2100</v>
      </c>
      <c r="K421" s="52"/>
      <c r="L421" s="7" t="s">
        <v>43</v>
      </c>
      <c r="M421" s="52" t="s">
        <v>17</v>
      </c>
      <c r="N421" s="52"/>
    </row>
    <row r="422" s="8" customFormat="1" spans="1:14">
      <c r="A422" s="65" t="s">
        <v>312</v>
      </c>
      <c r="B422" s="66">
        <v>46170</v>
      </c>
      <c r="C422" s="67" t="s">
        <v>240</v>
      </c>
      <c r="D422" s="7" t="s">
        <v>44</v>
      </c>
      <c r="E422" s="10">
        <v>12</v>
      </c>
      <c r="F422" s="10">
        <v>2</v>
      </c>
      <c r="G422" s="68">
        <f t="shared" si="22"/>
        <v>24</v>
      </c>
      <c r="H422" s="69" t="s">
        <v>16</v>
      </c>
      <c r="I422" s="52">
        <v>11.8</v>
      </c>
      <c r="J422" s="52">
        <f t="shared" si="21"/>
        <v>283.2</v>
      </c>
      <c r="K422" s="52"/>
      <c r="L422" s="7" t="s">
        <v>43</v>
      </c>
      <c r="M422" s="52" t="s">
        <v>17</v>
      </c>
      <c r="N422" s="52" t="s">
        <v>313</v>
      </c>
    </row>
    <row r="423" s="8" customFormat="1" spans="1:14">
      <c r="A423" s="65" t="s">
        <v>314</v>
      </c>
      <c r="B423" s="66">
        <v>46172</v>
      </c>
      <c r="C423" s="67" t="s">
        <v>315</v>
      </c>
      <c r="D423" s="16" t="s">
        <v>15</v>
      </c>
      <c r="E423" s="10">
        <v>12</v>
      </c>
      <c r="F423" s="10">
        <v>50</v>
      </c>
      <c r="G423" s="68">
        <f t="shared" si="22"/>
        <v>600</v>
      </c>
      <c r="H423" s="69" t="s">
        <v>16</v>
      </c>
      <c r="I423" s="52">
        <v>11.8</v>
      </c>
      <c r="J423" s="52">
        <f t="shared" si="21"/>
        <v>7080</v>
      </c>
      <c r="K423" s="52"/>
      <c r="L423" s="7" t="s">
        <v>43</v>
      </c>
      <c r="M423" s="52" t="s">
        <v>17</v>
      </c>
      <c r="N423" s="52"/>
    </row>
    <row r="424" s="8" customFormat="1" spans="1:14">
      <c r="A424" s="65" t="s">
        <v>316</v>
      </c>
      <c r="B424" s="66">
        <v>46172</v>
      </c>
      <c r="C424" s="67" t="s">
        <v>317</v>
      </c>
      <c r="D424" s="65" t="s">
        <v>300</v>
      </c>
      <c r="E424" s="10">
        <v>12</v>
      </c>
      <c r="F424" s="10">
        <v>20</v>
      </c>
      <c r="G424" s="68">
        <f t="shared" si="22"/>
        <v>240</v>
      </c>
      <c r="H424" s="69" t="s">
        <v>16</v>
      </c>
      <c r="I424" s="52">
        <v>7.8</v>
      </c>
      <c r="J424" s="52">
        <f t="shared" si="21"/>
        <v>1872</v>
      </c>
      <c r="K424" s="52"/>
      <c r="L424" s="7" t="s">
        <v>43</v>
      </c>
      <c r="M424" s="52" t="s">
        <v>17</v>
      </c>
      <c r="N424" s="52"/>
    </row>
    <row r="425" s="8" customFormat="1" spans="1:14">
      <c r="A425" s="65" t="s">
        <v>316</v>
      </c>
      <c r="B425" s="66">
        <v>46172</v>
      </c>
      <c r="C425" s="67" t="s">
        <v>317</v>
      </c>
      <c r="D425" s="7" t="s">
        <v>44</v>
      </c>
      <c r="E425" s="10">
        <v>12</v>
      </c>
      <c r="F425" s="10">
        <v>30</v>
      </c>
      <c r="G425" s="68">
        <f t="shared" si="22"/>
        <v>360</v>
      </c>
      <c r="H425" s="69" t="s">
        <v>16</v>
      </c>
      <c r="I425" s="52">
        <v>11.8</v>
      </c>
      <c r="J425" s="52">
        <f t="shared" si="21"/>
        <v>4248</v>
      </c>
      <c r="K425" s="52"/>
      <c r="L425" s="7" t="s">
        <v>43</v>
      </c>
      <c r="M425" s="52" t="s">
        <v>17</v>
      </c>
      <c r="N425" s="52"/>
    </row>
    <row r="426" s="9" customFormat="1" spans="1:14">
      <c r="A426" s="65" t="s">
        <v>318</v>
      </c>
      <c r="B426" s="66">
        <v>46172</v>
      </c>
      <c r="C426" s="67" t="s">
        <v>319</v>
      </c>
      <c r="D426" s="7" t="s">
        <v>33</v>
      </c>
      <c r="E426" s="65">
        <v>12</v>
      </c>
      <c r="F426" s="65">
        <v>25</v>
      </c>
      <c r="G426" s="77">
        <f t="shared" si="22"/>
        <v>300</v>
      </c>
      <c r="H426" s="77" t="s">
        <v>16</v>
      </c>
      <c r="I426" s="57">
        <v>14.8</v>
      </c>
      <c r="J426" s="57">
        <f t="shared" si="21"/>
        <v>4440</v>
      </c>
      <c r="K426" s="57"/>
      <c r="L426" s="7" t="s">
        <v>43</v>
      </c>
      <c r="M426" s="52" t="s">
        <v>17</v>
      </c>
      <c r="N426" s="57"/>
    </row>
    <row r="427" s="8" customFormat="1" spans="1:14">
      <c r="A427" s="65" t="s">
        <v>320</v>
      </c>
      <c r="B427" s="66">
        <v>46172</v>
      </c>
      <c r="C427" s="67" t="s">
        <v>321</v>
      </c>
      <c r="D427" s="7" t="s">
        <v>44</v>
      </c>
      <c r="E427" s="10">
        <v>12</v>
      </c>
      <c r="F427" s="10">
        <v>10</v>
      </c>
      <c r="G427" s="68">
        <f t="shared" si="22"/>
        <v>120</v>
      </c>
      <c r="H427" s="69" t="s">
        <v>16</v>
      </c>
      <c r="I427" s="52">
        <v>11.8</v>
      </c>
      <c r="J427" s="52">
        <f t="shared" si="21"/>
        <v>1416</v>
      </c>
      <c r="K427" s="52"/>
      <c r="L427" s="7" t="s">
        <v>43</v>
      </c>
      <c r="M427" s="52" t="s">
        <v>17</v>
      </c>
      <c r="N427" s="52"/>
    </row>
    <row r="428" s="8" customFormat="1" spans="1:14">
      <c r="A428" s="65" t="s">
        <v>320</v>
      </c>
      <c r="B428" s="66">
        <v>46172</v>
      </c>
      <c r="C428" s="67" t="s">
        <v>321</v>
      </c>
      <c r="D428" s="7" t="s">
        <v>39</v>
      </c>
      <c r="E428" s="10">
        <v>12</v>
      </c>
      <c r="F428" s="10">
        <v>10</v>
      </c>
      <c r="G428" s="68">
        <f t="shared" si="22"/>
        <v>120</v>
      </c>
      <c r="H428" s="69" t="s">
        <v>16</v>
      </c>
      <c r="I428" s="52">
        <v>14.8</v>
      </c>
      <c r="J428" s="52">
        <f t="shared" si="21"/>
        <v>1776</v>
      </c>
      <c r="K428" s="52"/>
      <c r="L428" s="7" t="s">
        <v>43</v>
      </c>
      <c r="M428" s="52" t="s">
        <v>17</v>
      </c>
      <c r="N428" s="52"/>
    </row>
    <row r="429" s="8" customFormat="1" spans="1:14">
      <c r="A429" s="65" t="s">
        <v>320</v>
      </c>
      <c r="B429" s="66">
        <v>46172</v>
      </c>
      <c r="C429" s="67" t="s">
        <v>321</v>
      </c>
      <c r="D429" s="7" t="s">
        <v>40</v>
      </c>
      <c r="E429" s="10">
        <v>12</v>
      </c>
      <c r="F429" s="10">
        <v>10</v>
      </c>
      <c r="G429" s="68">
        <f t="shared" si="22"/>
        <v>120</v>
      </c>
      <c r="H429" s="69" t="s">
        <v>16</v>
      </c>
      <c r="I429" s="52">
        <v>17.5</v>
      </c>
      <c r="J429" s="52">
        <f t="shared" si="21"/>
        <v>2100</v>
      </c>
      <c r="K429" s="52"/>
      <c r="L429" s="7" t="s">
        <v>43</v>
      </c>
      <c r="M429" s="52" t="s">
        <v>17</v>
      </c>
      <c r="N429" s="52"/>
    </row>
    <row r="430" s="8" customFormat="1" spans="1:14">
      <c r="A430" s="65" t="s">
        <v>322</v>
      </c>
      <c r="B430" s="66">
        <v>46172</v>
      </c>
      <c r="C430" s="67" t="s">
        <v>323</v>
      </c>
      <c r="D430" s="7" t="s">
        <v>39</v>
      </c>
      <c r="E430" s="10">
        <v>12</v>
      </c>
      <c r="F430" s="10">
        <v>30</v>
      </c>
      <c r="G430" s="68">
        <f t="shared" si="22"/>
        <v>360</v>
      </c>
      <c r="H430" s="69" t="s">
        <v>16</v>
      </c>
      <c r="I430" s="52">
        <v>14.5</v>
      </c>
      <c r="J430" s="52">
        <f t="shared" si="21"/>
        <v>5220</v>
      </c>
      <c r="K430" s="52"/>
      <c r="L430" s="7" t="s">
        <v>43</v>
      </c>
      <c r="M430" s="52" t="s">
        <v>17</v>
      </c>
      <c r="N430" s="52"/>
    </row>
    <row r="431" s="8" customFormat="1" spans="1:14">
      <c r="A431" s="65" t="s">
        <v>324</v>
      </c>
      <c r="B431" s="66">
        <v>46172</v>
      </c>
      <c r="C431" s="67" t="s">
        <v>325</v>
      </c>
      <c r="D431" s="16" t="s">
        <v>15</v>
      </c>
      <c r="E431" s="10">
        <v>12</v>
      </c>
      <c r="F431" s="10">
        <v>15</v>
      </c>
      <c r="G431" s="68">
        <f t="shared" si="22"/>
        <v>180</v>
      </c>
      <c r="H431" s="69" t="s">
        <v>16</v>
      </c>
      <c r="I431" s="52">
        <v>11.8</v>
      </c>
      <c r="J431" s="52">
        <f t="shared" si="21"/>
        <v>2124</v>
      </c>
      <c r="K431" s="52"/>
      <c r="L431" s="7" t="s">
        <v>43</v>
      </c>
      <c r="M431" s="52" t="s">
        <v>17</v>
      </c>
      <c r="N431" s="52"/>
    </row>
    <row r="432" s="8" customFormat="1" spans="1:14">
      <c r="A432" s="65" t="s">
        <v>324</v>
      </c>
      <c r="B432" s="66">
        <v>46172</v>
      </c>
      <c r="C432" s="67" t="s">
        <v>325</v>
      </c>
      <c r="D432" s="7" t="s">
        <v>33</v>
      </c>
      <c r="E432" s="10">
        <v>12</v>
      </c>
      <c r="F432" s="10">
        <v>5</v>
      </c>
      <c r="G432" s="68">
        <f t="shared" si="22"/>
        <v>60</v>
      </c>
      <c r="H432" s="69" t="s">
        <v>16</v>
      </c>
      <c r="I432" s="52">
        <v>14.8</v>
      </c>
      <c r="J432" s="52">
        <f t="shared" si="21"/>
        <v>888</v>
      </c>
      <c r="K432" s="52"/>
      <c r="L432" s="7" t="s">
        <v>43</v>
      </c>
      <c r="M432" s="52" t="s">
        <v>17</v>
      </c>
      <c r="N432" s="52"/>
    </row>
    <row r="433" s="8" customFormat="1" spans="1:14">
      <c r="A433" s="65" t="s">
        <v>326</v>
      </c>
      <c r="B433" s="66">
        <v>46172</v>
      </c>
      <c r="C433" s="67" t="s">
        <v>75</v>
      </c>
      <c r="D433" s="7" t="s">
        <v>44</v>
      </c>
      <c r="E433" s="10">
        <v>12</v>
      </c>
      <c r="F433" s="10">
        <v>50</v>
      </c>
      <c r="G433" s="68">
        <f t="shared" si="22"/>
        <v>600</v>
      </c>
      <c r="H433" s="69" t="s">
        <v>16</v>
      </c>
      <c r="I433" s="52">
        <v>11.8</v>
      </c>
      <c r="J433" s="52">
        <f t="shared" si="21"/>
        <v>7080</v>
      </c>
      <c r="K433" s="52"/>
      <c r="L433" s="7" t="s">
        <v>43</v>
      </c>
      <c r="M433" s="52" t="s">
        <v>17</v>
      </c>
      <c r="N433" s="52"/>
    </row>
    <row r="434" s="8" customFormat="1" spans="1:14">
      <c r="A434" s="80" t="s">
        <v>327</v>
      </c>
      <c r="B434" s="81">
        <v>46173</v>
      </c>
      <c r="C434" s="82" t="s">
        <v>328</v>
      </c>
      <c r="D434" s="16" t="s">
        <v>15</v>
      </c>
      <c r="E434" s="83">
        <v>12</v>
      </c>
      <c r="F434" s="83">
        <v>300</v>
      </c>
      <c r="G434" s="68">
        <f t="shared" si="22"/>
        <v>3600</v>
      </c>
      <c r="H434" s="84" t="s">
        <v>16</v>
      </c>
      <c r="I434" s="85">
        <v>11.8</v>
      </c>
      <c r="J434" s="85">
        <f>G434*I434+240</f>
        <v>42720</v>
      </c>
      <c r="K434" s="85"/>
      <c r="L434" s="7" t="s">
        <v>43</v>
      </c>
      <c r="M434" s="52" t="s">
        <v>17</v>
      </c>
      <c r="N434" s="85" t="s">
        <v>329</v>
      </c>
    </row>
    <row r="435" s="8" customFormat="1" spans="1:14">
      <c r="A435" s="10" t="s">
        <v>330</v>
      </c>
      <c r="B435" s="86">
        <v>46186</v>
      </c>
      <c r="C435" s="87" t="s">
        <v>331</v>
      </c>
      <c r="D435" s="7" t="s">
        <v>33</v>
      </c>
      <c r="E435" s="10">
        <v>12</v>
      </c>
      <c r="F435" s="10">
        <v>15</v>
      </c>
      <c r="G435" s="69">
        <v>180</v>
      </c>
      <c r="H435" s="69" t="s">
        <v>16</v>
      </c>
      <c r="I435" s="52">
        <v>14.8</v>
      </c>
      <c r="J435" s="52">
        <f t="shared" ref="J435:J480" si="23">G435*I435+K435</f>
        <v>2664</v>
      </c>
      <c r="K435" s="52"/>
      <c r="L435" s="7" t="s">
        <v>43</v>
      </c>
      <c r="M435" s="52"/>
      <c r="N435" s="88"/>
    </row>
    <row r="436" s="8" customFormat="1" spans="1:14">
      <c r="A436" s="10" t="s">
        <v>332</v>
      </c>
      <c r="B436" s="86">
        <v>46175</v>
      </c>
      <c r="C436" s="87" t="s">
        <v>333</v>
      </c>
      <c r="D436" s="16" t="s">
        <v>15</v>
      </c>
      <c r="E436" s="10">
        <v>12</v>
      </c>
      <c r="F436" s="10">
        <v>50</v>
      </c>
      <c r="G436" s="69">
        <v>600</v>
      </c>
      <c r="H436" s="69" t="s">
        <v>16</v>
      </c>
      <c r="I436" s="52">
        <v>11.8</v>
      </c>
      <c r="J436" s="52">
        <f t="shared" si="23"/>
        <v>7080</v>
      </c>
      <c r="K436" s="52"/>
      <c r="L436" s="7" t="s">
        <v>43</v>
      </c>
      <c r="M436" s="52"/>
      <c r="N436" s="88"/>
    </row>
    <row r="437" s="8" customFormat="1" spans="1:14">
      <c r="A437" s="65" t="s">
        <v>334</v>
      </c>
      <c r="B437" s="66">
        <v>46189</v>
      </c>
      <c r="C437" s="67" t="s">
        <v>335</v>
      </c>
      <c r="D437" s="16" t="s">
        <v>15</v>
      </c>
      <c r="E437" s="65">
        <v>12</v>
      </c>
      <c r="F437" s="65">
        <v>150</v>
      </c>
      <c r="G437" s="77">
        <v>1800</v>
      </c>
      <c r="H437" s="77" t="s">
        <v>16</v>
      </c>
      <c r="I437" s="52">
        <v>12.3</v>
      </c>
      <c r="J437" s="52">
        <f t="shared" si="23"/>
        <v>22140</v>
      </c>
      <c r="K437" s="52"/>
      <c r="L437" s="7" t="s">
        <v>43</v>
      </c>
      <c r="M437" s="52" t="s">
        <v>17</v>
      </c>
      <c r="N437" s="88" t="s">
        <v>336</v>
      </c>
    </row>
    <row r="438" s="8" customFormat="1" spans="1:14">
      <c r="A438" s="10" t="s">
        <v>337</v>
      </c>
      <c r="B438" s="86">
        <v>46175</v>
      </c>
      <c r="C438" s="87" t="s">
        <v>338</v>
      </c>
      <c r="D438" s="7" t="s">
        <v>33</v>
      </c>
      <c r="E438" s="10">
        <v>12</v>
      </c>
      <c r="F438" s="10">
        <v>16</v>
      </c>
      <c r="G438" s="69">
        <v>192</v>
      </c>
      <c r="H438" s="69" t="s">
        <v>16</v>
      </c>
      <c r="I438" s="52">
        <v>14.8</v>
      </c>
      <c r="J438" s="52">
        <f t="shared" si="23"/>
        <v>2841.6</v>
      </c>
      <c r="K438" s="52"/>
      <c r="L438" s="7" t="s">
        <v>43</v>
      </c>
      <c r="M438" s="52"/>
      <c r="N438" s="88"/>
    </row>
    <row r="439" s="8" customFormat="1" spans="1:14">
      <c r="A439" s="10" t="s">
        <v>337</v>
      </c>
      <c r="B439" s="86">
        <v>46175</v>
      </c>
      <c r="C439" s="87" t="s">
        <v>338</v>
      </c>
      <c r="D439" s="16" t="s">
        <v>35</v>
      </c>
      <c r="E439" s="10">
        <v>12</v>
      </c>
      <c r="F439" s="10">
        <v>15</v>
      </c>
      <c r="G439" s="69">
        <v>180</v>
      </c>
      <c r="H439" s="69" t="s">
        <v>16</v>
      </c>
      <c r="I439" s="52">
        <v>17.3</v>
      </c>
      <c r="J439" s="52">
        <f t="shared" si="23"/>
        <v>3114</v>
      </c>
      <c r="K439" s="52"/>
      <c r="L439" s="7" t="s">
        <v>43</v>
      </c>
      <c r="M439" s="52"/>
      <c r="N439" s="88"/>
    </row>
    <row r="440" s="8" customFormat="1" spans="1:14">
      <c r="A440" s="10" t="s">
        <v>339</v>
      </c>
      <c r="B440" s="86">
        <v>46183</v>
      </c>
      <c r="C440" s="87" t="s">
        <v>340</v>
      </c>
      <c r="D440" s="7" t="s">
        <v>34</v>
      </c>
      <c r="E440" s="10">
        <v>12</v>
      </c>
      <c r="F440" s="10">
        <v>20</v>
      </c>
      <c r="G440" s="69">
        <v>240</v>
      </c>
      <c r="H440" s="69" t="s">
        <v>16</v>
      </c>
      <c r="I440" s="52">
        <v>9.8</v>
      </c>
      <c r="J440" s="52">
        <f t="shared" si="23"/>
        <v>2352</v>
      </c>
      <c r="K440" s="52"/>
      <c r="L440" s="7" t="s">
        <v>43</v>
      </c>
      <c r="M440" s="52"/>
      <c r="N440" s="88"/>
    </row>
    <row r="441" s="8" customFormat="1" spans="1:14">
      <c r="A441" s="10" t="s">
        <v>339</v>
      </c>
      <c r="B441" s="86">
        <v>46183</v>
      </c>
      <c r="C441" s="87" t="s">
        <v>340</v>
      </c>
      <c r="D441" s="16" t="s">
        <v>15</v>
      </c>
      <c r="E441" s="10">
        <v>12</v>
      </c>
      <c r="F441" s="10">
        <v>15</v>
      </c>
      <c r="G441" s="69">
        <v>180</v>
      </c>
      <c r="H441" s="69" t="s">
        <v>16</v>
      </c>
      <c r="I441" s="52">
        <v>11.8</v>
      </c>
      <c r="J441" s="52">
        <f t="shared" si="23"/>
        <v>2124</v>
      </c>
      <c r="K441" s="52"/>
      <c r="L441" s="7" t="s">
        <v>43</v>
      </c>
      <c r="M441" s="52"/>
      <c r="N441" s="88"/>
    </row>
    <row r="442" s="8" customFormat="1" spans="1:14">
      <c r="A442" s="10" t="s">
        <v>341</v>
      </c>
      <c r="B442" s="86">
        <v>46180</v>
      </c>
      <c r="C442" s="87" t="s">
        <v>342</v>
      </c>
      <c r="D442" s="7" t="s">
        <v>40</v>
      </c>
      <c r="E442" s="10">
        <v>12</v>
      </c>
      <c r="F442" s="10">
        <v>40</v>
      </c>
      <c r="G442" s="69">
        <v>480</v>
      </c>
      <c r="H442" s="69" t="s">
        <v>16</v>
      </c>
      <c r="I442" s="52">
        <v>17.5</v>
      </c>
      <c r="J442" s="52">
        <f t="shared" si="23"/>
        <v>8400</v>
      </c>
      <c r="K442" s="52"/>
      <c r="L442" s="7" t="s">
        <v>43</v>
      </c>
      <c r="M442" s="52"/>
      <c r="N442" s="88"/>
    </row>
    <row r="443" s="8" customFormat="1" spans="1:14">
      <c r="A443" s="10" t="s">
        <v>343</v>
      </c>
      <c r="B443" s="86">
        <v>46190</v>
      </c>
      <c r="C443" s="87" t="s">
        <v>344</v>
      </c>
      <c r="D443" s="65" t="s">
        <v>300</v>
      </c>
      <c r="E443" s="10">
        <v>12</v>
      </c>
      <c r="F443" s="10">
        <v>5</v>
      </c>
      <c r="G443" s="69">
        <v>60</v>
      </c>
      <c r="H443" s="69" t="s">
        <v>16</v>
      </c>
      <c r="I443" s="52">
        <v>7.8</v>
      </c>
      <c r="J443" s="52">
        <f t="shared" si="23"/>
        <v>468</v>
      </c>
      <c r="K443" s="52"/>
      <c r="L443" s="7" t="s">
        <v>43</v>
      </c>
      <c r="M443" s="52"/>
      <c r="N443" s="88"/>
    </row>
    <row r="444" s="8" customFormat="1" spans="1:14">
      <c r="A444" s="10" t="s">
        <v>345</v>
      </c>
      <c r="B444" s="86">
        <v>46196</v>
      </c>
      <c r="C444" s="87" t="s">
        <v>346</v>
      </c>
      <c r="D444" s="7" t="s">
        <v>33</v>
      </c>
      <c r="E444" s="10">
        <v>12</v>
      </c>
      <c r="F444" s="10">
        <v>10</v>
      </c>
      <c r="G444" s="69">
        <v>120</v>
      </c>
      <c r="H444" s="69" t="s">
        <v>16</v>
      </c>
      <c r="I444" s="52">
        <v>14.8</v>
      </c>
      <c r="J444" s="52">
        <f t="shared" si="23"/>
        <v>1776</v>
      </c>
      <c r="K444" s="52"/>
      <c r="L444" s="7" t="s">
        <v>43</v>
      </c>
      <c r="M444" s="52"/>
      <c r="N444" s="88"/>
    </row>
    <row r="445" s="8" customFormat="1" spans="1:14">
      <c r="A445" s="10" t="s">
        <v>347</v>
      </c>
      <c r="B445" s="86">
        <v>46175</v>
      </c>
      <c r="C445" s="87" t="s">
        <v>219</v>
      </c>
      <c r="D445" s="7" t="s">
        <v>53</v>
      </c>
      <c r="E445" s="10">
        <v>12</v>
      </c>
      <c r="F445" s="10">
        <v>3</v>
      </c>
      <c r="G445" s="69">
        <v>36</v>
      </c>
      <c r="H445" s="69" t="s">
        <v>16</v>
      </c>
      <c r="I445" s="52">
        <v>12.8</v>
      </c>
      <c r="J445" s="52">
        <f t="shared" si="23"/>
        <v>460.8</v>
      </c>
      <c r="K445" s="52"/>
      <c r="L445" s="7" t="s">
        <v>43</v>
      </c>
      <c r="M445" s="52"/>
      <c r="N445" s="88"/>
    </row>
    <row r="446" s="8" customFormat="1" spans="1:14">
      <c r="A446" s="10" t="s">
        <v>348</v>
      </c>
      <c r="B446" s="86">
        <v>46175</v>
      </c>
      <c r="C446" s="87" t="s">
        <v>75</v>
      </c>
      <c r="D446" s="16" t="s">
        <v>15</v>
      </c>
      <c r="E446" s="10">
        <v>12</v>
      </c>
      <c r="F446" s="10">
        <v>25</v>
      </c>
      <c r="G446" s="69">
        <v>300</v>
      </c>
      <c r="H446" s="69" t="s">
        <v>16</v>
      </c>
      <c r="I446" s="52">
        <v>11.8</v>
      </c>
      <c r="J446" s="52">
        <f t="shared" si="23"/>
        <v>3540</v>
      </c>
      <c r="K446" s="52"/>
      <c r="L446" s="7" t="s">
        <v>43</v>
      </c>
      <c r="M446" s="52"/>
      <c r="N446" s="88"/>
    </row>
    <row r="447" s="9" customFormat="1" spans="1:14">
      <c r="A447" s="65" t="s">
        <v>349</v>
      </c>
      <c r="B447" s="66">
        <v>46189</v>
      </c>
      <c r="C447" s="67" t="s">
        <v>350</v>
      </c>
      <c r="D447" s="7" t="s">
        <v>34</v>
      </c>
      <c r="E447" s="65">
        <v>12</v>
      </c>
      <c r="F447" s="65">
        <v>35</v>
      </c>
      <c r="G447" s="77">
        <v>420</v>
      </c>
      <c r="H447" s="77" t="s">
        <v>16</v>
      </c>
      <c r="I447" s="57">
        <v>10.8</v>
      </c>
      <c r="J447" s="57">
        <f t="shared" si="23"/>
        <v>4536</v>
      </c>
      <c r="K447" s="57"/>
      <c r="L447" s="7" t="s">
        <v>43</v>
      </c>
      <c r="M447" s="57" t="s">
        <v>17</v>
      </c>
      <c r="N447" s="89"/>
    </row>
    <row r="448" s="9" customFormat="1" spans="1:14">
      <c r="A448" s="65" t="s">
        <v>349</v>
      </c>
      <c r="B448" s="66">
        <v>46189</v>
      </c>
      <c r="C448" s="67" t="s">
        <v>350</v>
      </c>
      <c r="D448" s="16" t="s">
        <v>15</v>
      </c>
      <c r="E448" s="65">
        <v>12</v>
      </c>
      <c r="F448" s="65">
        <v>68</v>
      </c>
      <c r="G448" s="77">
        <v>816</v>
      </c>
      <c r="H448" s="77" t="s">
        <v>16</v>
      </c>
      <c r="I448" s="57">
        <v>12.6</v>
      </c>
      <c r="J448" s="57">
        <f t="shared" si="23"/>
        <v>10281.6</v>
      </c>
      <c r="K448" s="57"/>
      <c r="L448" s="7" t="s">
        <v>43</v>
      </c>
      <c r="M448" s="57" t="s">
        <v>17</v>
      </c>
      <c r="N448" s="89"/>
    </row>
    <row r="449" s="9" customFormat="1" spans="1:14">
      <c r="A449" s="65" t="s">
        <v>349</v>
      </c>
      <c r="B449" s="66">
        <v>46189</v>
      </c>
      <c r="C449" s="67" t="s">
        <v>350</v>
      </c>
      <c r="D449" s="29" t="s">
        <v>32</v>
      </c>
      <c r="E449" s="65">
        <v>12</v>
      </c>
      <c r="F449" s="65">
        <v>16</v>
      </c>
      <c r="G449" s="77">
        <v>192</v>
      </c>
      <c r="H449" s="77" t="s">
        <v>16</v>
      </c>
      <c r="I449" s="57">
        <v>16.2</v>
      </c>
      <c r="J449" s="57">
        <f t="shared" si="23"/>
        <v>3110.4</v>
      </c>
      <c r="K449" s="57"/>
      <c r="L449" s="7" t="s">
        <v>43</v>
      </c>
      <c r="M449" s="57" t="s">
        <v>17</v>
      </c>
      <c r="N449" s="89"/>
    </row>
    <row r="450" s="8" customFormat="1" spans="1:14">
      <c r="A450" s="10" t="s">
        <v>351</v>
      </c>
      <c r="B450" s="86">
        <v>46189</v>
      </c>
      <c r="C450" s="87" t="s">
        <v>352</v>
      </c>
      <c r="D450" s="7" t="s">
        <v>44</v>
      </c>
      <c r="E450" s="10">
        <v>12</v>
      </c>
      <c r="F450" s="10">
        <v>5</v>
      </c>
      <c r="G450" s="69">
        <v>60</v>
      </c>
      <c r="H450" s="69" t="s">
        <v>16</v>
      </c>
      <c r="I450" s="52">
        <v>13</v>
      </c>
      <c r="J450" s="52">
        <f t="shared" si="23"/>
        <v>780</v>
      </c>
      <c r="K450" s="52"/>
      <c r="L450" s="7" t="s">
        <v>43</v>
      </c>
      <c r="M450" s="52"/>
      <c r="N450" s="88"/>
    </row>
    <row r="451" s="8" customFormat="1" spans="1:14">
      <c r="A451" s="10" t="s">
        <v>353</v>
      </c>
      <c r="B451" s="86">
        <v>46191</v>
      </c>
      <c r="C451" s="87" t="s">
        <v>354</v>
      </c>
      <c r="D451" s="7" t="s">
        <v>34</v>
      </c>
      <c r="E451" s="10">
        <v>12</v>
      </c>
      <c r="F451" s="10">
        <v>5</v>
      </c>
      <c r="G451" s="69">
        <v>60</v>
      </c>
      <c r="H451" s="69" t="s">
        <v>16</v>
      </c>
      <c r="I451" s="52">
        <v>9.8</v>
      </c>
      <c r="J451" s="52">
        <f t="shared" si="23"/>
        <v>588</v>
      </c>
      <c r="K451" s="52"/>
      <c r="L451" s="7" t="s">
        <v>43</v>
      </c>
      <c r="M451" s="52"/>
      <c r="N451" s="88"/>
    </row>
    <row r="452" s="8" customFormat="1" spans="1:14">
      <c r="A452" s="10" t="s">
        <v>353</v>
      </c>
      <c r="B452" s="86">
        <v>46191</v>
      </c>
      <c r="C452" s="87" t="s">
        <v>354</v>
      </c>
      <c r="D452" s="16" t="s">
        <v>15</v>
      </c>
      <c r="E452" s="10">
        <v>12</v>
      </c>
      <c r="F452" s="10">
        <v>5</v>
      </c>
      <c r="G452" s="69">
        <v>60</v>
      </c>
      <c r="H452" s="69" t="s">
        <v>16</v>
      </c>
      <c r="I452" s="52">
        <v>11.8</v>
      </c>
      <c r="J452" s="52">
        <f t="shared" si="23"/>
        <v>708</v>
      </c>
      <c r="K452" s="52"/>
      <c r="L452" s="7" t="s">
        <v>43</v>
      </c>
      <c r="M452" s="52"/>
      <c r="N452" s="88"/>
    </row>
    <row r="453" s="8" customFormat="1" spans="1:14">
      <c r="A453" s="10" t="s">
        <v>355</v>
      </c>
      <c r="B453" s="86">
        <v>46190</v>
      </c>
      <c r="C453" s="87" t="s">
        <v>273</v>
      </c>
      <c r="D453" s="7" t="s">
        <v>50</v>
      </c>
      <c r="E453" s="10">
        <v>12</v>
      </c>
      <c r="F453" s="10">
        <v>15</v>
      </c>
      <c r="G453" s="69">
        <v>180</v>
      </c>
      <c r="H453" s="69" t="s">
        <v>16</v>
      </c>
      <c r="I453" s="52">
        <v>9</v>
      </c>
      <c r="J453" s="52">
        <f t="shared" si="23"/>
        <v>1620</v>
      </c>
      <c r="K453" s="52"/>
      <c r="L453" s="7" t="s">
        <v>43</v>
      </c>
      <c r="M453" s="52"/>
      <c r="N453" s="88"/>
    </row>
    <row r="454" s="8" customFormat="1" spans="1:14">
      <c r="A454" s="10" t="s">
        <v>353</v>
      </c>
      <c r="B454" s="86">
        <v>46191</v>
      </c>
      <c r="C454" s="87" t="s">
        <v>354</v>
      </c>
      <c r="D454" s="7" t="s">
        <v>44</v>
      </c>
      <c r="E454" s="10">
        <v>12</v>
      </c>
      <c r="F454" s="10">
        <v>5</v>
      </c>
      <c r="G454" s="69">
        <v>60</v>
      </c>
      <c r="H454" s="69" t="s">
        <v>16</v>
      </c>
      <c r="I454" s="52">
        <v>12</v>
      </c>
      <c r="J454" s="52">
        <f t="shared" si="23"/>
        <v>720</v>
      </c>
      <c r="K454" s="52"/>
      <c r="L454" s="7" t="s">
        <v>43</v>
      </c>
      <c r="M454" s="52"/>
      <c r="N454" s="88"/>
    </row>
    <row r="455" s="8" customFormat="1" spans="1:14">
      <c r="A455" s="10" t="s">
        <v>353</v>
      </c>
      <c r="B455" s="86">
        <v>46191</v>
      </c>
      <c r="C455" s="87" t="s">
        <v>354</v>
      </c>
      <c r="D455" s="7" t="s">
        <v>39</v>
      </c>
      <c r="E455" s="10">
        <v>12</v>
      </c>
      <c r="F455" s="10">
        <v>5</v>
      </c>
      <c r="G455" s="69">
        <v>60</v>
      </c>
      <c r="H455" s="69" t="s">
        <v>16</v>
      </c>
      <c r="I455" s="52">
        <v>15</v>
      </c>
      <c r="J455" s="52">
        <f t="shared" si="23"/>
        <v>900</v>
      </c>
      <c r="K455" s="52"/>
      <c r="L455" s="7" t="s">
        <v>43</v>
      </c>
      <c r="M455" s="52"/>
      <c r="N455" s="88"/>
    </row>
    <row r="456" s="8" customFormat="1" spans="1:14">
      <c r="A456" s="10" t="s">
        <v>356</v>
      </c>
      <c r="B456" s="86">
        <v>46196</v>
      </c>
      <c r="C456" s="87" t="s">
        <v>357</v>
      </c>
      <c r="D456" s="16" t="s">
        <v>15</v>
      </c>
      <c r="E456" s="10">
        <v>12</v>
      </c>
      <c r="F456" s="10">
        <v>42</v>
      </c>
      <c r="G456" s="69">
        <v>504</v>
      </c>
      <c r="H456" s="69" t="s">
        <v>16</v>
      </c>
      <c r="I456" s="52">
        <v>11.8</v>
      </c>
      <c r="J456" s="52">
        <f t="shared" si="23"/>
        <v>5947.2</v>
      </c>
      <c r="K456" s="52"/>
      <c r="L456" s="7" t="s">
        <v>43</v>
      </c>
      <c r="M456" s="52"/>
      <c r="N456" s="88"/>
    </row>
    <row r="457" s="8" customFormat="1" spans="1:14">
      <c r="A457" s="10" t="s">
        <v>358</v>
      </c>
      <c r="B457" s="86">
        <v>46179</v>
      </c>
      <c r="C457" s="87" t="s">
        <v>359</v>
      </c>
      <c r="D457" s="7" t="s">
        <v>33</v>
      </c>
      <c r="E457" s="10">
        <v>12</v>
      </c>
      <c r="F457" s="10">
        <v>5</v>
      </c>
      <c r="G457" s="69">
        <v>60</v>
      </c>
      <c r="H457" s="69" t="s">
        <v>16</v>
      </c>
      <c r="I457" s="52">
        <v>14.8</v>
      </c>
      <c r="J457" s="52">
        <f t="shared" si="23"/>
        <v>888</v>
      </c>
      <c r="K457" s="52"/>
      <c r="L457" s="7" t="s">
        <v>43</v>
      </c>
      <c r="M457" s="52"/>
      <c r="N457" s="88"/>
    </row>
    <row r="458" s="8" customFormat="1" spans="1:14">
      <c r="A458" s="10" t="s">
        <v>358</v>
      </c>
      <c r="B458" s="86">
        <v>46179</v>
      </c>
      <c r="C458" s="87" t="s">
        <v>359</v>
      </c>
      <c r="D458" s="17" t="s">
        <v>48</v>
      </c>
      <c r="E458" s="10">
        <v>12</v>
      </c>
      <c r="F458" s="10">
        <v>5</v>
      </c>
      <c r="G458" s="69">
        <v>60</v>
      </c>
      <c r="H458" s="69" t="s">
        <v>16</v>
      </c>
      <c r="I458" s="52">
        <v>15</v>
      </c>
      <c r="J458" s="52">
        <f t="shared" si="23"/>
        <v>900</v>
      </c>
      <c r="K458" s="52"/>
      <c r="L458" s="7" t="s">
        <v>43</v>
      </c>
      <c r="M458" s="52"/>
      <c r="N458" s="88"/>
    </row>
    <row r="459" s="8" customFormat="1" spans="1:14">
      <c r="A459" s="10" t="s">
        <v>358</v>
      </c>
      <c r="B459" s="86">
        <v>46179</v>
      </c>
      <c r="C459" s="87" t="s">
        <v>359</v>
      </c>
      <c r="D459" s="29" t="s">
        <v>95</v>
      </c>
      <c r="E459" s="10">
        <v>12</v>
      </c>
      <c r="F459" s="10">
        <v>5</v>
      </c>
      <c r="G459" s="69">
        <v>60</v>
      </c>
      <c r="H459" s="69" t="s">
        <v>16</v>
      </c>
      <c r="I459" s="52">
        <v>17.5</v>
      </c>
      <c r="J459" s="52">
        <f t="shared" si="23"/>
        <v>1050</v>
      </c>
      <c r="K459" s="52"/>
      <c r="L459" s="7" t="s">
        <v>43</v>
      </c>
      <c r="M459" s="52"/>
      <c r="N459" s="88"/>
    </row>
    <row r="460" s="8" customFormat="1" spans="1:14">
      <c r="A460" s="10" t="s">
        <v>360</v>
      </c>
      <c r="B460" s="86">
        <v>46194</v>
      </c>
      <c r="C460" s="87" t="s">
        <v>52</v>
      </c>
      <c r="D460" s="16" t="s">
        <v>15</v>
      </c>
      <c r="E460" s="10">
        <v>12</v>
      </c>
      <c r="F460" s="10">
        <v>100</v>
      </c>
      <c r="G460" s="69">
        <f>E460*F460</f>
        <v>1200</v>
      </c>
      <c r="H460" s="69" t="s">
        <v>16</v>
      </c>
      <c r="I460" s="52">
        <v>12.5</v>
      </c>
      <c r="J460" s="52">
        <f t="shared" si="23"/>
        <v>15000</v>
      </c>
      <c r="K460" s="52"/>
      <c r="L460" s="7" t="s">
        <v>43</v>
      </c>
      <c r="M460" s="52"/>
      <c r="N460" s="88"/>
    </row>
    <row r="461" s="8" customFormat="1" spans="1:14">
      <c r="A461" s="10" t="s">
        <v>361</v>
      </c>
      <c r="B461" s="86">
        <v>46179</v>
      </c>
      <c r="C461" s="87" t="s">
        <v>362</v>
      </c>
      <c r="D461" s="16" t="s">
        <v>15</v>
      </c>
      <c r="E461" s="10">
        <v>12</v>
      </c>
      <c r="F461" s="10">
        <v>15</v>
      </c>
      <c r="G461" s="69">
        <v>180</v>
      </c>
      <c r="H461" s="69" t="s">
        <v>16</v>
      </c>
      <c r="I461" s="52">
        <v>11.8</v>
      </c>
      <c r="J461" s="52">
        <f t="shared" si="23"/>
        <v>2124</v>
      </c>
      <c r="K461" s="52"/>
      <c r="L461" s="7" t="s">
        <v>43</v>
      </c>
      <c r="M461" s="52"/>
      <c r="N461" s="88"/>
    </row>
    <row r="462" s="8" customFormat="1" spans="1:14">
      <c r="A462" s="10" t="s">
        <v>363</v>
      </c>
      <c r="B462" s="86">
        <v>46179</v>
      </c>
      <c r="C462" s="87" t="s">
        <v>75</v>
      </c>
      <c r="D462" s="16" t="s">
        <v>15</v>
      </c>
      <c r="E462" s="10">
        <v>12</v>
      </c>
      <c r="F462" s="10">
        <v>175</v>
      </c>
      <c r="G462" s="69">
        <v>2100</v>
      </c>
      <c r="H462" s="69" t="s">
        <v>16</v>
      </c>
      <c r="I462" s="52">
        <v>11.8</v>
      </c>
      <c r="J462" s="52">
        <f t="shared" si="23"/>
        <v>24780</v>
      </c>
      <c r="K462" s="52"/>
      <c r="L462" s="7" t="s">
        <v>43</v>
      </c>
      <c r="M462" s="52"/>
      <c r="N462" s="88"/>
    </row>
    <row r="463" s="8" customFormat="1" spans="1:14">
      <c r="A463" s="10" t="s">
        <v>364</v>
      </c>
      <c r="B463" s="86">
        <v>46196</v>
      </c>
      <c r="C463" s="87" t="s">
        <v>365</v>
      </c>
      <c r="D463" s="16" t="s">
        <v>15</v>
      </c>
      <c r="E463" s="10">
        <v>12</v>
      </c>
      <c r="F463" s="10">
        <v>20</v>
      </c>
      <c r="G463" s="69">
        <v>240</v>
      </c>
      <c r="H463" s="69" t="s">
        <v>16</v>
      </c>
      <c r="I463" s="52">
        <v>11.8</v>
      </c>
      <c r="J463" s="52">
        <f t="shared" si="23"/>
        <v>2832</v>
      </c>
      <c r="K463" s="52"/>
      <c r="L463" s="7" t="s">
        <v>43</v>
      </c>
      <c r="M463" s="52"/>
      <c r="N463" s="88"/>
    </row>
    <row r="464" s="8" customFormat="1" spans="1:14">
      <c r="A464" s="10" t="s">
        <v>364</v>
      </c>
      <c r="B464" s="86">
        <v>46196</v>
      </c>
      <c r="C464" s="87" t="s">
        <v>365</v>
      </c>
      <c r="D464" s="7" t="s">
        <v>34</v>
      </c>
      <c r="E464" s="10">
        <v>12</v>
      </c>
      <c r="F464" s="10">
        <v>10</v>
      </c>
      <c r="G464" s="69">
        <v>120</v>
      </c>
      <c r="H464" s="69" t="s">
        <v>16</v>
      </c>
      <c r="I464" s="52">
        <v>9.8</v>
      </c>
      <c r="J464" s="52">
        <f t="shared" si="23"/>
        <v>1176</v>
      </c>
      <c r="K464" s="52"/>
      <c r="L464" s="7" t="s">
        <v>43</v>
      </c>
      <c r="M464" s="52"/>
      <c r="N464" s="88"/>
    </row>
    <row r="465" s="8" customFormat="1" spans="1:14">
      <c r="A465" s="10" t="s">
        <v>366</v>
      </c>
      <c r="B465" s="86">
        <v>46185</v>
      </c>
      <c r="C465" s="87" t="s">
        <v>75</v>
      </c>
      <c r="D465" s="7" t="s">
        <v>50</v>
      </c>
      <c r="E465" s="10">
        <v>12</v>
      </c>
      <c r="F465" s="10">
        <v>10</v>
      </c>
      <c r="G465" s="69">
        <v>120</v>
      </c>
      <c r="H465" s="69" t="s">
        <v>16</v>
      </c>
      <c r="I465" s="52">
        <v>17.3</v>
      </c>
      <c r="J465" s="52">
        <f t="shared" si="23"/>
        <v>2076</v>
      </c>
      <c r="K465" s="52"/>
      <c r="L465" s="7" t="s">
        <v>43</v>
      </c>
      <c r="M465" s="52"/>
      <c r="N465" s="88"/>
    </row>
    <row r="466" s="8" customFormat="1" spans="1:14">
      <c r="A466" s="10" t="s">
        <v>367</v>
      </c>
      <c r="B466" s="86">
        <v>46185</v>
      </c>
      <c r="C466" s="87" t="s">
        <v>90</v>
      </c>
      <c r="D466" s="7" t="s">
        <v>40</v>
      </c>
      <c r="E466" s="10">
        <v>12</v>
      </c>
      <c r="F466" s="10">
        <v>40</v>
      </c>
      <c r="G466" s="69">
        <v>480</v>
      </c>
      <c r="H466" s="69" t="s">
        <v>16</v>
      </c>
      <c r="I466" s="52">
        <v>17.5</v>
      </c>
      <c r="J466" s="52">
        <f t="shared" si="23"/>
        <v>8400</v>
      </c>
      <c r="K466" s="52"/>
      <c r="L466" s="7" t="s">
        <v>43</v>
      </c>
      <c r="M466" s="52"/>
      <c r="N466" s="88"/>
    </row>
    <row r="467" s="8" customFormat="1" spans="1:14">
      <c r="A467" s="10" t="s">
        <v>368</v>
      </c>
      <c r="B467" s="86">
        <v>46185</v>
      </c>
      <c r="C467" s="87" t="s">
        <v>369</v>
      </c>
      <c r="D467" s="10" t="s">
        <v>370</v>
      </c>
      <c r="E467" s="10">
        <v>12</v>
      </c>
      <c r="F467" s="10">
        <v>49</v>
      </c>
      <c r="G467" s="69">
        <v>588</v>
      </c>
      <c r="H467" s="69" t="s">
        <v>16</v>
      </c>
      <c r="I467" s="52">
        <v>35</v>
      </c>
      <c r="J467" s="52">
        <f t="shared" si="23"/>
        <v>20580</v>
      </c>
      <c r="K467" s="52"/>
      <c r="L467" s="7" t="s">
        <v>43</v>
      </c>
      <c r="M467" s="52"/>
      <c r="N467" s="88"/>
    </row>
    <row r="468" s="8" customFormat="1" spans="1:14">
      <c r="A468" s="10" t="s">
        <v>371</v>
      </c>
      <c r="B468" s="86">
        <v>46198</v>
      </c>
      <c r="C468" s="87" t="s">
        <v>372</v>
      </c>
      <c r="D468" s="7" t="s">
        <v>40</v>
      </c>
      <c r="E468" s="10">
        <v>12</v>
      </c>
      <c r="F468" s="10">
        <v>40</v>
      </c>
      <c r="G468" s="69">
        <v>480</v>
      </c>
      <c r="H468" s="69" t="s">
        <v>16</v>
      </c>
      <c r="I468" s="52">
        <v>17.5</v>
      </c>
      <c r="J468" s="52">
        <f t="shared" si="23"/>
        <v>8400</v>
      </c>
      <c r="K468" s="52"/>
      <c r="L468" s="7" t="s">
        <v>43</v>
      </c>
      <c r="M468" s="52"/>
      <c r="N468" s="88"/>
    </row>
    <row r="469" s="8" customFormat="1" ht="30" hidden="1" spans="1:14">
      <c r="A469" s="10" t="s">
        <v>373</v>
      </c>
      <c r="B469" s="86">
        <v>46196</v>
      </c>
      <c r="C469" s="87" t="s">
        <v>374</v>
      </c>
      <c r="D469" s="29" t="s">
        <v>32</v>
      </c>
      <c r="E469" s="10">
        <v>8</v>
      </c>
      <c r="F469" s="10">
        <v>75</v>
      </c>
      <c r="G469" s="69">
        <v>600</v>
      </c>
      <c r="H469" s="69" t="s">
        <v>16</v>
      </c>
      <c r="I469" s="52">
        <v>17.82</v>
      </c>
      <c r="J469" s="52">
        <f t="shared" si="23"/>
        <v>10692</v>
      </c>
      <c r="K469" s="52"/>
      <c r="L469" s="52" t="s">
        <v>17</v>
      </c>
      <c r="M469" s="52" t="s">
        <v>17</v>
      </c>
      <c r="N469" s="90" t="s">
        <v>375</v>
      </c>
    </row>
    <row r="470" s="8" customFormat="1" spans="1:14">
      <c r="A470" s="10" t="s">
        <v>376</v>
      </c>
      <c r="B470" s="86">
        <v>46195</v>
      </c>
      <c r="C470" s="87" t="s">
        <v>377</v>
      </c>
      <c r="D470" s="7" t="s">
        <v>33</v>
      </c>
      <c r="E470" s="10">
        <v>12</v>
      </c>
      <c r="F470" s="10">
        <v>5</v>
      </c>
      <c r="G470" s="69">
        <v>60</v>
      </c>
      <c r="H470" s="69" t="s">
        <v>16</v>
      </c>
      <c r="I470" s="52">
        <v>14.6</v>
      </c>
      <c r="J470" s="52">
        <f t="shared" si="23"/>
        <v>876</v>
      </c>
      <c r="K470" s="52"/>
      <c r="L470" s="7" t="s">
        <v>43</v>
      </c>
      <c r="M470" s="52"/>
      <c r="N470" s="88"/>
    </row>
    <row r="471" s="8" customFormat="1" spans="1:14">
      <c r="A471" s="10" t="s">
        <v>376</v>
      </c>
      <c r="B471" s="86">
        <v>46195</v>
      </c>
      <c r="C471" s="87" t="s">
        <v>377</v>
      </c>
      <c r="D471" s="65" t="s">
        <v>300</v>
      </c>
      <c r="E471" s="10">
        <v>12</v>
      </c>
      <c r="F471" s="10">
        <v>3</v>
      </c>
      <c r="G471" s="69">
        <v>36</v>
      </c>
      <c r="H471" s="69" t="s">
        <v>16</v>
      </c>
      <c r="I471" s="52">
        <v>7.8</v>
      </c>
      <c r="J471" s="52">
        <f t="shared" si="23"/>
        <v>280.8</v>
      </c>
      <c r="K471" s="52"/>
      <c r="L471" s="7" t="s">
        <v>43</v>
      </c>
      <c r="M471" s="52"/>
      <c r="N471" s="88"/>
    </row>
    <row r="472" s="8" customFormat="1" spans="1:14">
      <c r="A472" s="10" t="s">
        <v>376</v>
      </c>
      <c r="B472" s="86">
        <v>46195</v>
      </c>
      <c r="C472" s="87" t="s">
        <v>377</v>
      </c>
      <c r="D472" s="7" t="s">
        <v>34</v>
      </c>
      <c r="E472" s="10">
        <v>12</v>
      </c>
      <c r="F472" s="10">
        <v>5</v>
      </c>
      <c r="G472" s="69">
        <v>60</v>
      </c>
      <c r="H472" s="69" t="s">
        <v>16</v>
      </c>
      <c r="I472" s="52">
        <v>9.6</v>
      </c>
      <c r="J472" s="52">
        <f t="shared" si="23"/>
        <v>576</v>
      </c>
      <c r="K472" s="52"/>
      <c r="L472" s="7" t="s">
        <v>43</v>
      </c>
      <c r="M472" s="52"/>
      <c r="N472" s="88"/>
    </row>
    <row r="473" s="8" customFormat="1" spans="1:14">
      <c r="A473" s="10" t="s">
        <v>378</v>
      </c>
      <c r="B473" s="86">
        <v>46195</v>
      </c>
      <c r="C473" s="87" t="s">
        <v>379</v>
      </c>
      <c r="D473" s="65" t="s">
        <v>300</v>
      </c>
      <c r="E473" s="10">
        <v>12</v>
      </c>
      <c r="F473" s="10">
        <v>6</v>
      </c>
      <c r="G473" s="69">
        <v>72</v>
      </c>
      <c r="H473" s="69" t="s">
        <v>16</v>
      </c>
      <c r="I473" s="52">
        <v>7.8</v>
      </c>
      <c r="J473" s="52">
        <f t="shared" si="23"/>
        <v>561.6</v>
      </c>
      <c r="K473" s="52"/>
      <c r="L473" s="7" t="s">
        <v>43</v>
      </c>
      <c r="M473" s="52"/>
      <c r="N473" s="88"/>
    </row>
    <row r="474" s="8" customFormat="1" spans="1:14">
      <c r="A474" s="10" t="s">
        <v>378</v>
      </c>
      <c r="B474" s="86">
        <v>46195</v>
      </c>
      <c r="C474" s="87" t="s">
        <v>379</v>
      </c>
      <c r="D474" s="7" t="s">
        <v>34</v>
      </c>
      <c r="E474" s="10">
        <v>12</v>
      </c>
      <c r="F474" s="10">
        <v>10</v>
      </c>
      <c r="G474" s="69">
        <v>120</v>
      </c>
      <c r="H474" s="69" t="s">
        <v>16</v>
      </c>
      <c r="I474" s="52">
        <v>9.6</v>
      </c>
      <c r="J474" s="52">
        <f t="shared" si="23"/>
        <v>1152</v>
      </c>
      <c r="K474" s="52"/>
      <c r="L474" s="7" t="s">
        <v>43</v>
      </c>
      <c r="M474" s="52"/>
      <c r="N474" s="88"/>
    </row>
    <row r="475" s="8" customFormat="1" spans="1:14">
      <c r="A475" s="10" t="s">
        <v>380</v>
      </c>
      <c r="B475" s="86">
        <v>46196</v>
      </c>
      <c r="C475" s="87" t="s">
        <v>381</v>
      </c>
      <c r="D475" s="16" t="s">
        <v>35</v>
      </c>
      <c r="E475" s="10">
        <v>12</v>
      </c>
      <c r="F475" s="10">
        <v>20</v>
      </c>
      <c r="G475" s="69">
        <v>240</v>
      </c>
      <c r="H475" s="69" t="s">
        <v>16</v>
      </c>
      <c r="I475" s="52">
        <v>17.1</v>
      </c>
      <c r="J475" s="52">
        <f t="shared" si="23"/>
        <v>4104</v>
      </c>
      <c r="K475" s="52"/>
      <c r="L475" s="7" t="s">
        <v>43</v>
      </c>
      <c r="M475" s="52"/>
      <c r="N475" s="88"/>
    </row>
    <row r="476" s="8" customFormat="1" spans="1:14">
      <c r="A476" s="10" t="s">
        <v>380</v>
      </c>
      <c r="B476" s="86">
        <v>46196</v>
      </c>
      <c r="C476" s="87" t="s">
        <v>381</v>
      </c>
      <c r="D476" s="29" t="s">
        <v>32</v>
      </c>
      <c r="E476" s="10">
        <v>12</v>
      </c>
      <c r="F476" s="10">
        <v>10</v>
      </c>
      <c r="G476" s="69">
        <v>120</v>
      </c>
      <c r="H476" s="69" t="s">
        <v>16</v>
      </c>
      <c r="I476" s="52">
        <v>14.6</v>
      </c>
      <c r="J476" s="52">
        <f t="shared" si="23"/>
        <v>1752</v>
      </c>
      <c r="K476" s="52"/>
      <c r="L476" s="7" t="s">
        <v>43</v>
      </c>
      <c r="M476" s="52"/>
      <c r="N476" s="88"/>
    </row>
    <row r="477" s="8" customFormat="1" spans="1:14">
      <c r="A477" s="10" t="s">
        <v>382</v>
      </c>
      <c r="B477" s="86">
        <v>46191</v>
      </c>
      <c r="C477" s="87" t="s">
        <v>75</v>
      </c>
      <c r="D477" s="16" t="s">
        <v>15</v>
      </c>
      <c r="E477" s="10">
        <v>12</v>
      </c>
      <c r="F477" s="10">
        <v>100</v>
      </c>
      <c r="G477" s="69">
        <v>1200</v>
      </c>
      <c r="H477" s="69" t="s">
        <v>16</v>
      </c>
      <c r="I477" s="52">
        <v>11.6</v>
      </c>
      <c r="J477" s="52">
        <f t="shared" si="23"/>
        <v>13920</v>
      </c>
      <c r="K477" s="52"/>
      <c r="L477" s="7" t="s">
        <v>43</v>
      </c>
      <c r="M477" s="52"/>
      <c r="N477" s="88"/>
    </row>
    <row r="478" s="9" customFormat="1" spans="1:14">
      <c r="A478" s="10" t="s">
        <v>383</v>
      </c>
      <c r="B478" s="86">
        <v>46195</v>
      </c>
      <c r="C478" s="87" t="s">
        <v>75</v>
      </c>
      <c r="D478" s="7" t="s">
        <v>50</v>
      </c>
      <c r="E478" s="10">
        <v>12</v>
      </c>
      <c r="F478" s="10">
        <v>10</v>
      </c>
      <c r="G478" s="69">
        <v>120</v>
      </c>
      <c r="H478" s="69" t="s">
        <v>16</v>
      </c>
      <c r="I478" s="52">
        <v>17.1</v>
      </c>
      <c r="J478" s="52">
        <f t="shared" si="23"/>
        <v>2052</v>
      </c>
      <c r="K478" s="52"/>
      <c r="L478" s="7" t="s">
        <v>43</v>
      </c>
      <c r="M478" s="52"/>
      <c r="N478" s="88"/>
    </row>
    <row r="479" s="8" customFormat="1" spans="1:14">
      <c r="A479" s="10" t="s">
        <v>384</v>
      </c>
      <c r="B479" s="86">
        <v>46196</v>
      </c>
      <c r="C479" s="87" t="s">
        <v>385</v>
      </c>
      <c r="D479" s="16" t="s">
        <v>15</v>
      </c>
      <c r="E479" s="10">
        <v>12</v>
      </c>
      <c r="F479" s="10">
        <v>4</v>
      </c>
      <c r="G479" s="69">
        <v>48</v>
      </c>
      <c r="H479" s="69" t="s">
        <v>16</v>
      </c>
      <c r="I479" s="52">
        <v>11.6</v>
      </c>
      <c r="J479" s="52">
        <f t="shared" si="23"/>
        <v>556.8</v>
      </c>
      <c r="K479" s="52"/>
      <c r="L479" s="7" t="s">
        <v>43</v>
      </c>
      <c r="M479" s="52"/>
      <c r="N479" s="88"/>
    </row>
    <row r="480" s="8" customFormat="1" spans="1:14">
      <c r="A480" s="10" t="s">
        <v>386</v>
      </c>
      <c r="B480" s="86">
        <v>46196</v>
      </c>
      <c r="C480" s="87" t="s">
        <v>75</v>
      </c>
      <c r="D480" s="7" t="s">
        <v>40</v>
      </c>
      <c r="E480" s="10">
        <v>12</v>
      </c>
      <c r="F480" s="10">
        <v>20</v>
      </c>
      <c r="G480" s="69">
        <v>240</v>
      </c>
      <c r="H480" s="69" t="s">
        <v>16</v>
      </c>
      <c r="I480" s="52">
        <v>17.5</v>
      </c>
      <c r="J480" s="52">
        <f t="shared" si="23"/>
        <v>4200</v>
      </c>
      <c r="K480" s="52"/>
      <c r="L480" s="7" t="s">
        <v>43</v>
      </c>
      <c r="M480" s="52"/>
      <c r="N480" s="88"/>
    </row>
    <row r="481" s="8" customFormat="1" hidden="1" spans="1:14">
      <c r="A481" s="10" t="s">
        <v>387</v>
      </c>
      <c r="B481" s="86">
        <v>46200</v>
      </c>
      <c r="C481" s="87" t="s">
        <v>388</v>
      </c>
      <c r="D481" s="16" t="s">
        <v>15</v>
      </c>
      <c r="E481" s="10">
        <v>12</v>
      </c>
      <c r="F481" s="10">
        <v>10</v>
      </c>
      <c r="G481" s="69">
        <v>120</v>
      </c>
      <c r="H481" s="69" t="s">
        <v>16</v>
      </c>
      <c r="I481" s="52">
        <v>18</v>
      </c>
      <c r="J481" s="52">
        <f>G481*I481-K481</f>
        <v>2070</v>
      </c>
      <c r="K481" s="52">
        <v>90</v>
      </c>
      <c r="L481" s="52" t="s">
        <v>43</v>
      </c>
      <c r="M481" s="52" t="s">
        <v>17</v>
      </c>
      <c r="N481" s="88"/>
    </row>
    <row r="482" s="8" customFormat="1" spans="1:14">
      <c r="A482" s="65" t="s">
        <v>386</v>
      </c>
      <c r="B482" s="66">
        <v>46196</v>
      </c>
      <c r="C482" s="67" t="s">
        <v>75</v>
      </c>
      <c r="D482" s="7" t="s">
        <v>33</v>
      </c>
      <c r="E482" s="65">
        <v>12</v>
      </c>
      <c r="F482" s="65">
        <v>50</v>
      </c>
      <c r="G482" s="77">
        <v>600</v>
      </c>
      <c r="H482" s="77" t="s">
        <v>16</v>
      </c>
      <c r="I482" s="52">
        <v>14.6</v>
      </c>
      <c r="J482" s="57">
        <f>G482*I482+K482</f>
        <v>8760</v>
      </c>
      <c r="K482" s="57"/>
      <c r="L482" s="7" t="s">
        <v>43</v>
      </c>
      <c r="M482" s="57"/>
      <c r="N482" s="89"/>
    </row>
    <row r="483" s="8" customFormat="1" hidden="1" spans="1:14">
      <c r="A483" s="10" t="s">
        <v>389</v>
      </c>
      <c r="B483" s="86">
        <v>46202</v>
      </c>
      <c r="C483" s="87" t="s">
        <v>183</v>
      </c>
      <c r="D483" s="29" t="s">
        <v>32</v>
      </c>
      <c r="E483" s="10">
        <v>12</v>
      </c>
      <c r="F483" s="10">
        <v>10</v>
      </c>
      <c r="G483" s="69">
        <v>120</v>
      </c>
      <c r="H483" s="69" t="s">
        <v>16</v>
      </c>
      <c r="I483" s="52">
        <v>18.315</v>
      </c>
      <c r="J483" s="52">
        <f>G483*I483+K483</f>
        <v>2197.8</v>
      </c>
      <c r="K483" s="52"/>
      <c r="L483" s="52" t="s">
        <v>17</v>
      </c>
      <c r="M483" s="52" t="s">
        <v>17</v>
      </c>
      <c r="N483" s="88"/>
    </row>
    <row r="484" s="8" customFormat="1" spans="1:14">
      <c r="A484" s="10" t="s">
        <v>390</v>
      </c>
      <c r="B484" s="86">
        <v>46197</v>
      </c>
      <c r="C484" s="87" t="s">
        <v>194</v>
      </c>
      <c r="D484" s="16" t="s">
        <v>15</v>
      </c>
      <c r="E484" s="10">
        <v>12</v>
      </c>
      <c r="F484" s="10">
        <v>20</v>
      </c>
      <c r="G484" s="69">
        <v>240</v>
      </c>
      <c r="H484" s="69" t="s">
        <v>16</v>
      </c>
      <c r="I484" s="52">
        <v>11.6</v>
      </c>
      <c r="J484" s="52">
        <f>G484*I484+K484</f>
        <v>2784</v>
      </c>
      <c r="K484" s="52"/>
      <c r="L484" s="7" t="s">
        <v>43</v>
      </c>
      <c r="M484" s="52"/>
      <c r="N484" s="88"/>
    </row>
    <row r="485" s="8" customFormat="1" spans="1:14">
      <c r="A485" s="10" t="s">
        <v>391</v>
      </c>
      <c r="B485" s="86">
        <v>46203</v>
      </c>
      <c r="C485" s="87" t="s">
        <v>304</v>
      </c>
      <c r="D485" s="7" t="s">
        <v>53</v>
      </c>
      <c r="E485" s="10">
        <v>12</v>
      </c>
      <c r="F485" s="10">
        <v>5</v>
      </c>
      <c r="G485" s="69">
        <v>60</v>
      </c>
      <c r="H485" s="69" t="s">
        <v>16</v>
      </c>
      <c r="I485" s="85">
        <v>12.5</v>
      </c>
      <c r="J485" s="52">
        <f>G485*I485-K485</f>
        <v>740</v>
      </c>
      <c r="K485" s="85">
        <v>10</v>
      </c>
      <c r="L485" s="7" t="s">
        <v>43</v>
      </c>
      <c r="M485" s="85" t="s">
        <v>17</v>
      </c>
      <c r="N485" s="91"/>
    </row>
    <row r="486" s="8" customFormat="1" spans="1:14">
      <c r="A486" s="92" t="s">
        <v>392</v>
      </c>
      <c r="B486" s="93">
        <v>46204</v>
      </c>
      <c r="C486" s="94" t="s">
        <v>393</v>
      </c>
      <c r="D486" s="16" t="s">
        <v>15</v>
      </c>
      <c r="E486" s="10">
        <v>12</v>
      </c>
      <c r="F486" s="10">
        <v>5</v>
      </c>
      <c r="G486" s="69">
        <f t="shared" ref="G486:G513" si="24">E486*F486</f>
        <v>60</v>
      </c>
      <c r="H486" s="69" t="s">
        <v>16</v>
      </c>
      <c r="I486" s="52">
        <v>11.6</v>
      </c>
      <c r="J486" s="52">
        <f t="shared" ref="J486:J514" si="25">G486*I486</f>
        <v>696</v>
      </c>
      <c r="K486" s="52"/>
      <c r="L486" s="7" t="s">
        <v>43</v>
      </c>
      <c r="M486" s="52"/>
    </row>
    <row r="487" s="8" customFormat="1" spans="1:14">
      <c r="A487" s="92" t="s">
        <v>394</v>
      </c>
      <c r="B487" s="93">
        <v>46204</v>
      </c>
      <c r="C487" s="94" t="s">
        <v>395</v>
      </c>
      <c r="D487" s="7" t="s">
        <v>34</v>
      </c>
      <c r="E487" s="10">
        <v>12</v>
      </c>
      <c r="F487" s="10">
        <v>15</v>
      </c>
      <c r="G487" s="69">
        <f t="shared" si="24"/>
        <v>180</v>
      </c>
      <c r="H487" s="69" t="s">
        <v>16</v>
      </c>
      <c r="I487" s="52">
        <v>9.6</v>
      </c>
      <c r="J487" s="52">
        <f t="shared" si="25"/>
        <v>1728</v>
      </c>
      <c r="K487" s="52"/>
      <c r="L487" s="7" t="s">
        <v>43</v>
      </c>
      <c r="M487" s="52"/>
    </row>
    <row r="488" s="8" customFormat="1" spans="1:14">
      <c r="A488" s="92" t="s">
        <v>394</v>
      </c>
      <c r="B488" s="93">
        <v>46204</v>
      </c>
      <c r="C488" s="94" t="s">
        <v>395</v>
      </c>
      <c r="D488" s="16" t="s">
        <v>15</v>
      </c>
      <c r="E488" s="10">
        <v>12</v>
      </c>
      <c r="F488" s="10">
        <v>30</v>
      </c>
      <c r="G488" s="69">
        <f t="shared" si="24"/>
        <v>360</v>
      </c>
      <c r="H488" s="69" t="s">
        <v>16</v>
      </c>
      <c r="I488" s="52">
        <v>11.6</v>
      </c>
      <c r="J488" s="52">
        <f t="shared" si="25"/>
        <v>4176</v>
      </c>
      <c r="K488" s="52"/>
      <c r="L488" s="7" t="s">
        <v>43</v>
      </c>
      <c r="M488" s="52"/>
    </row>
    <row r="489" s="8" customFormat="1" spans="1:14">
      <c r="A489" s="92" t="s">
        <v>396</v>
      </c>
      <c r="B489" s="93">
        <v>46204</v>
      </c>
      <c r="C489" s="94" t="s">
        <v>397</v>
      </c>
      <c r="D489" s="7" t="s">
        <v>50</v>
      </c>
      <c r="E489" s="10">
        <v>12</v>
      </c>
      <c r="F489" s="10">
        <v>10</v>
      </c>
      <c r="G489" s="69">
        <f t="shared" si="24"/>
        <v>120</v>
      </c>
      <c r="H489" s="69" t="s">
        <v>16</v>
      </c>
      <c r="I489" s="52">
        <v>17.1</v>
      </c>
      <c r="J489" s="52">
        <f t="shared" si="25"/>
        <v>2052</v>
      </c>
      <c r="K489" s="52"/>
      <c r="L489" s="7" t="s">
        <v>43</v>
      </c>
      <c r="M489" s="52"/>
    </row>
    <row r="490" s="8" customFormat="1" spans="1:14">
      <c r="A490" s="92" t="s">
        <v>398</v>
      </c>
      <c r="B490" s="93">
        <v>46204</v>
      </c>
      <c r="C490" s="94" t="s">
        <v>399</v>
      </c>
      <c r="D490" s="7" t="s">
        <v>33</v>
      </c>
      <c r="E490" s="10">
        <v>12</v>
      </c>
      <c r="F490" s="10">
        <v>15</v>
      </c>
      <c r="G490" s="69">
        <f t="shared" si="24"/>
        <v>180</v>
      </c>
      <c r="H490" s="69" t="s">
        <v>16</v>
      </c>
      <c r="I490" s="52">
        <v>14.6</v>
      </c>
      <c r="J490" s="52">
        <f t="shared" si="25"/>
        <v>2628</v>
      </c>
      <c r="K490" s="52"/>
      <c r="L490" s="7" t="s">
        <v>43</v>
      </c>
      <c r="M490" s="52"/>
    </row>
    <row r="491" s="8" customFormat="1" spans="1:14">
      <c r="A491" s="92" t="s">
        <v>398</v>
      </c>
      <c r="B491" s="93">
        <v>46204</v>
      </c>
      <c r="C491" s="94" t="s">
        <v>399</v>
      </c>
      <c r="D491" s="16" t="s">
        <v>15</v>
      </c>
      <c r="E491" s="10">
        <v>12</v>
      </c>
      <c r="F491" s="10">
        <v>10</v>
      </c>
      <c r="G491" s="69">
        <f t="shared" si="24"/>
        <v>120</v>
      </c>
      <c r="H491" s="69" t="s">
        <v>16</v>
      </c>
      <c r="I491" s="52">
        <v>11.6</v>
      </c>
      <c r="J491" s="52">
        <f t="shared" si="25"/>
        <v>1392</v>
      </c>
      <c r="K491" s="52"/>
      <c r="L491" s="7" t="s">
        <v>43</v>
      </c>
      <c r="M491" s="52"/>
    </row>
    <row r="492" s="8" customFormat="1" spans="1:14">
      <c r="A492" s="92" t="s">
        <v>398</v>
      </c>
      <c r="B492" s="93">
        <v>46204</v>
      </c>
      <c r="C492" s="94" t="s">
        <v>399</v>
      </c>
      <c r="D492" s="7" t="s">
        <v>50</v>
      </c>
      <c r="E492" s="10">
        <v>12</v>
      </c>
      <c r="F492" s="10">
        <v>10</v>
      </c>
      <c r="G492" s="69">
        <f t="shared" si="24"/>
        <v>120</v>
      </c>
      <c r="H492" s="69" t="s">
        <v>16</v>
      </c>
      <c r="I492" s="52">
        <v>17.1</v>
      </c>
      <c r="J492" s="52">
        <f t="shared" si="25"/>
        <v>2052</v>
      </c>
      <c r="K492" s="52"/>
      <c r="L492" s="7" t="s">
        <v>43</v>
      </c>
      <c r="M492" s="52"/>
    </row>
    <row r="493" s="8" customFormat="1" spans="1:14">
      <c r="A493" s="92" t="s">
        <v>400</v>
      </c>
      <c r="B493" s="93">
        <v>46204</v>
      </c>
      <c r="C493" s="94" t="s">
        <v>401</v>
      </c>
      <c r="D493" s="7" t="s">
        <v>34</v>
      </c>
      <c r="E493" s="10">
        <v>12</v>
      </c>
      <c r="F493" s="10">
        <v>8</v>
      </c>
      <c r="G493" s="69">
        <f t="shared" si="24"/>
        <v>96</v>
      </c>
      <c r="H493" s="69" t="s">
        <v>16</v>
      </c>
      <c r="I493" s="52">
        <v>9.6</v>
      </c>
      <c r="J493" s="52">
        <f t="shared" si="25"/>
        <v>921.6</v>
      </c>
      <c r="K493" s="52"/>
      <c r="L493" s="7" t="s">
        <v>43</v>
      </c>
      <c r="M493" s="52"/>
    </row>
    <row r="494" s="8" customFormat="1" spans="1:14">
      <c r="A494" s="92" t="s">
        <v>400</v>
      </c>
      <c r="B494" s="93">
        <v>46204</v>
      </c>
      <c r="C494" s="94" t="s">
        <v>401</v>
      </c>
      <c r="D494" s="7" t="s">
        <v>34</v>
      </c>
      <c r="E494" s="10">
        <v>12</v>
      </c>
      <c r="F494" s="10">
        <v>3</v>
      </c>
      <c r="G494" s="69">
        <f t="shared" si="24"/>
        <v>36</v>
      </c>
      <c r="H494" s="69" t="s">
        <v>16</v>
      </c>
      <c r="I494" s="52">
        <v>9.6</v>
      </c>
      <c r="J494" s="52">
        <f t="shared" si="25"/>
        <v>345.6</v>
      </c>
      <c r="K494" s="52"/>
      <c r="L494" s="7" t="s">
        <v>43</v>
      </c>
      <c r="M494" s="52"/>
    </row>
    <row r="495" s="8" customFormat="1" spans="1:14">
      <c r="A495" s="92" t="s">
        <v>402</v>
      </c>
      <c r="B495" s="93">
        <v>46204</v>
      </c>
      <c r="C495" s="94" t="s">
        <v>291</v>
      </c>
      <c r="D495" s="7" t="s">
        <v>33</v>
      </c>
      <c r="E495" s="10">
        <v>12</v>
      </c>
      <c r="F495" s="10">
        <v>2</v>
      </c>
      <c r="G495" s="69">
        <f t="shared" si="24"/>
        <v>24</v>
      </c>
      <c r="H495" s="69" t="s">
        <v>16</v>
      </c>
      <c r="I495" s="52">
        <v>14.6</v>
      </c>
      <c r="J495" s="52">
        <f t="shared" si="25"/>
        <v>350.4</v>
      </c>
      <c r="K495" s="52"/>
      <c r="L495" s="7" t="s">
        <v>43</v>
      </c>
      <c r="M495" s="52"/>
    </row>
    <row r="496" s="8" customFormat="1" spans="1:14">
      <c r="A496" s="92" t="s">
        <v>403</v>
      </c>
      <c r="B496" s="93">
        <v>46204</v>
      </c>
      <c r="C496" s="94" t="s">
        <v>75</v>
      </c>
      <c r="D496" s="7" t="s">
        <v>33</v>
      </c>
      <c r="E496" s="10">
        <v>12</v>
      </c>
      <c r="F496" s="10">
        <v>50</v>
      </c>
      <c r="G496" s="69">
        <f t="shared" si="24"/>
        <v>600</v>
      </c>
      <c r="H496" s="69" t="s">
        <v>16</v>
      </c>
      <c r="I496" s="52">
        <v>14.6</v>
      </c>
      <c r="J496" s="52">
        <f t="shared" si="25"/>
        <v>8760</v>
      </c>
      <c r="K496" s="52"/>
      <c r="L496" s="7" t="s">
        <v>43</v>
      </c>
      <c r="M496" s="52"/>
    </row>
    <row r="497" s="8" customFormat="1" spans="1:13">
      <c r="A497" s="92" t="s">
        <v>403</v>
      </c>
      <c r="B497" s="93">
        <v>46204</v>
      </c>
      <c r="C497" s="94" t="s">
        <v>75</v>
      </c>
      <c r="D497" s="7" t="s">
        <v>34</v>
      </c>
      <c r="E497" s="10">
        <v>12</v>
      </c>
      <c r="F497" s="10">
        <v>100</v>
      </c>
      <c r="G497" s="69">
        <f t="shared" si="24"/>
        <v>1200</v>
      </c>
      <c r="H497" s="69" t="s">
        <v>16</v>
      </c>
      <c r="I497" s="52">
        <v>9.6</v>
      </c>
      <c r="J497" s="52">
        <f t="shared" si="25"/>
        <v>11520</v>
      </c>
      <c r="K497" s="52"/>
      <c r="L497" s="7" t="s">
        <v>43</v>
      </c>
      <c r="M497" s="52"/>
    </row>
    <row r="498" s="8" customFormat="1" spans="1:13">
      <c r="A498" s="92" t="s">
        <v>403</v>
      </c>
      <c r="B498" s="93">
        <v>46204</v>
      </c>
      <c r="C498" s="94" t="s">
        <v>75</v>
      </c>
      <c r="D498" s="7" t="s">
        <v>40</v>
      </c>
      <c r="E498" s="10">
        <v>12</v>
      </c>
      <c r="F498" s="10">
        <v>28</v>
      </c>
      <c r="G498" s="69">
        <f t="shared" si="24"/>
        <v>336</v>
      </c>
      <c r="H498" s="69" t="s">
        <v>16</v>
      </c>
      <c r="I498" s="52">
        <v>17.5</v>
      </c>
      <c r="J498" s="52">
        <f t="shared" si="25"/>
        <v>5880</v>
      </c>
      <c r="K498" s="52"/>
      <c r="L498" s="7" t="s">
        <v>43</v>
      </c>
      <c r="M498" s="52"/>
    </row>
    <row r="499" s="8" customFormat="1" spans="1:13">
      <c r="A499" s="92" t="s">
        <v>404</v>
      </c>
      <c r="B499" s="93">
        <v>46205</v>
      </c>
      <c r="C499" s="94" t="s">
        <v>405</v>
      </c>
      <c r="D499" s="16" t="s">
        <v>15</v>
      </c>
      <c r="E499" s="10">
        <v>12</v>
      </c>
      <c r="F499" s="10">
        <v>50</v>
      </c>
      <c r="G499" s="69">
        <f t="shared" si="24"/>
        <v>600</v>
      </c>
      <c r="H499" s="69" t="s">
        <v>16</v>
      </c>
      <c r="I499" s="52">
        <v>11.6</v>
      </c>
      <c r="J499" s="52">
        <f t="shared" si="25"/>
        <v>6960</v>
      </c>
      <c r="K499" s="52"/>
      <c r="L499" s="7" t="s">
        <v>43</v>
      </c>
      <c r="M499" s="52"/>
    </row>
    <row r="500" s="8" customFormat="1" spans="1:13">
      <c r="A500" s="92" t="s">
        <v>406</v>
      </c>
      <c r="B500" s="93">
        <v>46205</v>
      </c>
      <c r="C500" s="94" t="s">
        <v>407</v>
      </c>
      <c r="D500" s="7" t="s">
        <v>34</v>
      </c>
      <c r="E500" s="10">
        <v>12</v>
      </c>
      <c r="F500" s="10">
        <v>30</v>
      </c>
      <c r="G500" s="69">
        <f t="shared" si="24"/>
        <v>360</v>
      </c>
      <c r="H500" s="69" t="s">
        <v>16</v>
      </c>
      <c r="I500" s="52">
        <v>9.6</v>
      </c>
      <c r="J500" s="52">
        <f t="shared" si="25"/>
        <v>3456</v>
      </c>
      <c r="K500" s="52"/>
      <c r="L500" s="7" t="s">
        <v>43</v>
      </c>
      <c r="M500" s="52"/>
    </row>
    <row r="501" s="8" customFormat="1" spans="1:13">
      <c r="A501" s="92" t="s">
        <v>408</v>
      </c>
      <c r="B501" s="93">
        <v>46205</v>
      </c>
      <c r="C501" s="94" t="s">
        <v>409</v>
      </c>
      <c r="D501" s="16" t="s">
        <v>15</v>
      </c>
      <c r="E501" s="10">
        <v>12</v>
      </c>
      <c r="F501" s="10">
        <v>150</v>
      </c>
      <c r="G501" s="69">
        <f t="shared" si="24"/>
        <v>1800</v>
      </c>
      <c r="H501" s="69" t="s">
        <v>16</v>
      </c>
      <c r="I501" s="52">
        <v>11.6</v>
      </c>
      <c r="J501" s="52">
        <f t="shared" si="25"/>
        <v>20880</v>
      </c>
      <c r="K501" s="52"/>
      <c r="L501" s="7" t="s">
        <v>43</v>
      </c>
      <c r="M501" s="52"/>
    </row>
    <row r="502" s="8" customFormat="1" spans="1:13">
      <c r="A502" s="92" t="s">
        <v>410</v>
      </c>
      <c r="B502" s="93">
        <v>46205</v>
      </c>
      <c r="C502" s="94" t="s">
        <v>411</v>
      </c>
      <c r="D502" s="7" t="s">
        <v>33</v>
      </c>
      <c r="E502" s="10">
        <v>12</v>
      </c>
      <c r="F502" s="10">
        <v>50</v>
      </c>
      <c r="G502" s="69">
        <f t="shared" si="24"/>
        <v>600</v>
      </c>
      <c r="H502" s="69" t="s">
        <v>16</v>
      </c>
      <c r="I502" s="52">
        <v>14.6</v>
      </c>
      <c r="J502" s="52">
        <f t="shared" si="25"/>
        <v>8760</v>
      </c>
      <c r="K502" s="52"/>
      <c r="L502" s="7" t="s">
        <v>43</v>
      </c>
      <c r="M502" s="52"/>
    </row>
    <row r="503" s="8" customFormat="1" spans="1:13">
      <c r="A503" s="92" t="s">
        <v>371</v>
      </c>
      <c r="B503" s="93">
        <v>46206</v>
      </c>
      <c r="C503" s="94" t="s">
        <v>372</v>
      </c>
      <c r="D503" s="92" t="s">
        <v>100</v>
      </c>
      <c r="E503" s="10">
        <v>12</v>
      </c>
      <c r="F503" s="10">
        <v>7</v>
      </c>
      <c r="G503" s="69">
        <f t="shared" si="24"/>
        <v>84</v>
      </c>
      <c r="H503" s="69" t="s">
        <v>16</v>
      </c>
      <c r="I503" s="52">
        <v>35</v>
      </c>
      <c r="J503" s="52">
        <f t="shared" si="25"/>
        <v>2940</v>
      </c>
      <c r="K503" s="52"/>
      <c r="L503" s="7" t="s">
        <v>43</v>
      </c>
      <c r="M503" s="52"/>
    </row>
    <row r="504" s="8" customFormat="1" spans="1:13">
      <c r="A504" s="92" t="s">
        <v>412</v>
      </c>
      <c r="B504" s="93">
        <v>46206</v>
      </c>
      <c r="C504" s="94" t="s">
        <v>52</v>
      </c>
      <c r="D504" s="7" t="s">
        <v>34</v>
      </c>
      <c r="E504" s="10">
        <v>12</v>
      </c>
      <c r="F504" s="10">
        <v>5</v>
      </c>
      <c r="G504" s="69">
        <f t="shared" si="24"/>
        <v>60</v>
      </c>
      <c r="H504" s="69" t="s">
        <v>16</v>
      </c>
      <c r="I504" s="52">
        <v>10.8</v>
      </c>
      <c r="J504" s="52">
        <f t="shared" si="25"/>
        <v>648</v>
      </c>
      <c r="K504" s="52"/>
      <c r="L504" s="7" t="s">
        <v>43</v>
      </c>
      <c r="M504" s="52"/>
    </row>
    <row r="505" s="8" customFormat="1" spans="1:13">
      <c r="A505" s="92" t="s">
        <v>412</v>
      </c>
      <c r="B505" s="93">
        <v>46206</v>
      </c>
      <c r="C505" s="94" t="s">
        <v>52</v>
      </c>
      <c r="D505" s="16" t="s">
        <v>15</v>
      </c>
      <c r="E505" s="10">
        <v>12</v>
      </c>
      <c r="F505" s="10">
        <v>10</v>
      </c>
      <c r="G505" s="69">
        <f t="shared" si="24"/>
        <v>120</v>
      </c>
      <c r="H505" s="69" t="s">
        <v>16</v>
      </c>
      <c r="I505" s="52">
        <v>12.5</v>
      </c>
      <c r="J505" s="52">
        <f t="shared" si="25"/>
        <v>1500</v>
      </c>
      <c r="K505" s="52"/>
      <c r="L505" s="7" t="s">
        <v>43</v>
      </c>
      <c r="M505" s="52"/>
    </row>
    <row r="506" s="8" customFormat="1" spans="1:13">
      <c r="A506" s="92" t="s">
        <v>412</v>
      </c>
      <c r="B506" s="93">
        <v>46206</v>
      </c>
      <c r="C506" s="94" t="s">
        <v>52</v>
      </c>
      <c r="D506" s="7" t="s">
        <v>44</v>
      </c>
      <c r="E506" s="10">
        <v>12</v>
      </c>
      <c r="F506" s="10">
        <v>2</v>
      </c>
      <c r="G506" s="69">
        <f t="shared" si="24"/>
        <v>24</v>
      </c>
      <c r="H506" s="69" t="s">
        <v>16</v>
      </c>
      <c r="I506" s="52">
        <v>13</v>
      </c>
      <c r="J506" s="52">
        <f t="shared" si="25"/>
        <v>312</v>
      </c>
      <c r="K506" s="52"/>
      <c r="L506" s="7" t="s">
        <v>43</v>
      </c>
      <c r="M506" s="52"/>
    </row>
    <row r="507" s="8" customFormat="1" spans="1:13">
      <c r="A507" s="92" t="s">
        <v>412</v>
      </c>
      <c r="B507" s="93">
        <v>46206</v>
      </c>
      <c r="C507" s="94" t="s">
        <v>52</v>
      </c>
      <c r="D507" s="7" t="s">
        <v>39</v>
      </c>
      <c r="E507" s="10">
        <v>12</v>
      </c>
      <c r="F507" s="10">
        <v>3</v>
      </c>
      <c r="G507" s="69">
        <f t="shared" si="24"/>
        <v>36</v>
      </c>
      <c r="H507" s="69" t="s">
        <v>16</v>
      </c>
      <c r="I507" s="52">
        <v>16</v>
      </c>
      <c r="J507" s="52">
        <f t="shared" si="25"/>
        <v>576</v>
      </c>
      <c r="K507" s="52"/>
      <c r="L507" s="7" t="s">
        <v>43</v>
      </c>
      <c r="M507" s="52"/>
    </row>
    <row r="508" s="8" customFormat="1" spans="1:13">
      <c r="A508" s="92" t="s">
        <v>412</v>
      </c>
      <c r="B508" s="93">
        <v>46206</v>
      </c>
      <c r="C508" s="94" t="s">
        <v>52</v>
      </c>
      <c r="D508" s="7" t="s">
        <v>40</v>
      </c>
      <c r="E508" s="10">
        <v>12</v>
      </c>
      <c r="F508" s="10">
        <v>2</v>
      </c>
      <c r="G508" s="69">
        <f t="shared" si="24"/>
        <v>24</v>
      </c>
      <c r="H508" s="69" t="s">
        <v>16</v>
      </c>
      <c r="I508" s="52">
        <v>20</v>
      </c>
      <c r="J508" s="52">
        <f t="shared" si="25"/>
        <v>480</v>
      </c>
      <c r="K508" s="52"/>
      <c r="L508" s="7" t="s">
        <v>43</v>
      </c>
      <c r="M508" s="52"/>
    </row>
    <row r="509" s="8" customFormat="1" spans="1:13">
      <c r="A509" s="92" t="s">
        <v>413</v>
      </c>
      <c r="B509" s="93">
        <v>46206</v>
      </c>
      <c r="C509" s="94" t="s">
        <v>52</v>
      </c>
      <c r="D509" s="16" t="s">
        <v>15</v>
      </c>
      <c r="E509" s="10">
        <v>12</v>
      </c>
      <c r="F509" s="10">
        <v>2</v>
      </c>
      <c r="G509" s="69">
        <f t="shared" si="24"/>
        <v>24</v>
      </c>
      <c r="H509" s="69" t="s">
        <v>16</v>
      </c>
      <c r="I509" s="52">
        <v>12.5</v>
      </c>
      <c r="J509" s="52">
        <f t="shared" si="25"/>
        <v>300</v>
      </c>
      <c r="K509" s="52"/>
      <c r="L509" s="7" t="s">
        <v>43</v>
      </c>
      <c r="M509" s="52"/>
    </row>
    <row r="510" s="8" customFormat="1" spans="1:13">
      <c r="A510" s="92" t="s">
        <v>413</v>
      </c>
      <c r="B510" s="93">
        <v>46206</v>
      </c>
      <c r="C510" s="94" t="s">
        <v>52</v>
      </c>
      <c r="D510" s="7" t="s">
        <v>39</v>
      </c>
      <c r="E510" s="10">
        <v>12</v>
      </c>
      <c r="F510" s="10">
        <v>4</v>
      </c>
      <c r="G510" s="69">
        <f t="shared" si="24"/>
        <v>48</v>
      </c>
      <c r="H510" s="69" t="s">
        <v>16</v>
      </c>
      <c r="I510" s="52">
        <v>16</v>
      </c>
      <c r="J510" s="52">
        <f t="shared" si="25"/>
        <v>768</v>
      </c>
      <c r="K510" s="52"/>
      <c r="L510" s="7" t="s">
        <v>43</v>
      </c>
      <c r="M510" s="52"/>
    </row>
    <row r="511" s="8" customFormat="1" spans="1:13">
      <c r="A511" s="92" t="s">
        <v>413</v>
      </c>
      <c r="B511" s="93">
        <v>46206</v>
      </c>
      <c r="C511" s="94" t="s">
        <v>52</v>
      </c>
      <c r="D511" s="16" t="s">
        <v>15</v>
      </c>
      <c r="E511" s="10">
        <v>12</v>
      </c>
      <c r="F511" s="10">
        <v>30</v>
      </c>
      <c r="G511" s="69">
        <f t="shared" si="24"/>
        <v>360</v>
      </c>
      <c r="H511" s="69" t="s">
        <v>16</v>
      </c>
      <c r="I511" s="52">
        <v>12.5</v>
      </c>
      <c r="J511" s="52">
        <f t="shared" si="25"/>
        <v>4500</v>
      </c>
      <c r="K511" s="52"/>
      <c r="L511" s="7" t="s">
        <v>43</v>
      </c>
      <c r="M511" s="52"/>
    </row>
    <row r="512" s="8" customFormat="1" spans="1:13">
      <c r="A512" s="95" t="s">
        <v>414</v>
      </c>
      <c r="B512" s="96">
        <v>46207</v>
      </c>
      <c r="C512" s="95" t="s">
        <v>415</v>
      </c>
      <c r="D512" s="16" t="s">
        <v>15</v>
      </c>
      <c r="E512" s="97">
        <v>12</v>
      </c>
      <c r="F512" s="97">
        <v>50</v>
      </c>
      <c r="G512" s="69">
        <f t="shared" si="24"/>
        <v>600</v>
      </c>
      <c r="H512" s="69" t="s">
        <v>16</v>
      </c>
      <c r="I512" s="52">
        <v>11.6</v>
      </c>
      <c r="J512" s="52">
        <f t="shared" si="25"/>
        <v>6960</v>
      </c>
      <c r="K512" s="52"/>
      <c r="L512" s="7" t="s">
        <v>43</v>
      </c>
      <c r="M512" s="52"/>
    </row>
    <row r="513" s="8" customFormat="1" spans="1:14">
      <c r="A513" s="95" t="s">
        <v>414</v>
      </c>
      <c r="B513" s="96">
        <v>46207</v>
      </c>
      <c r="C513" s="95" t="s">
        <v>415</v>
      </c>
      <c r="D513" s="7" t="s">
        <v>34</v>
      </c>
      <c r="E513" s="97">
        <v>12</v>
      </c>
      <c r="F513" s="97">
        <v>5</v>
      </c>
      <c r="G513" s="69">
        <f t="shared" si="24"/>
        <v>60</v>
      </c>
      <c r="H513" s="69" t="s">
        <v>16</v>
      </c>
      <c r="I513" s="52">
        <v>9.6</v>
      </c>
      <c r="J513" s="52">
        <f t="shared" si="25"/>
        <v>576</v>
      </c>
      <c r="K513" s="52"/>
      <c r="L513" s="7" t="s">
        <v>43</v>
      </c>
      <c r="M513" s="52"/>
    </row>
    <row r="514" s="8" customFormat="1" spans="1:14">
      <c r="A514" s="92" t="s">
        <v>416</v>
      </c>
      <c r="B514" s="93">
        <v>46207</v>
      </c>
      <c r="C514" s="94" t="s">
        <v>73</v>
      </c>
      <c r="D514" s="16" t="s">
        <v>15</v>
      </c>
      <c r="E514" s="10"/>
      <c r="F514" s="10"/>
      <c r="G514" s="69">
        <v>49</v>
      </c>
      <c r="H514" s="69" t="s">
        <v>16</v>
      </c>
      <c r="I514" s="52">
        <v>12.3</v>
      </c>
      <c r="J514" s="52">
        <f t="shared" si="25"/>
        <v>602.7</v>
      </c>
      <c r="K514" s="52"/>
      <c r="L514" s="7" t="s">
        <v>43</v>
      </c>
      <c r="M514" s="52" t="s">
        <v>17</v>
      </c>
    </row>
    <row r="515" s="8" customFormat="1" spans="1:14">
      <c r="A515" s="92" t="s">
        <v>417</v>
      </c>
      <c r="B515" s="93">
        <v>46207</v>
      </c>
      <c r="C515" s="94" t="s">
        <v>418</v>
      </c>
      <c r="D515" s="16" t="s">
        <v>15</v>
      </c>
      <c r="E515" s="10">
        <v>12</v>
      </c>
      <c r="F515" s="10">
        <v>35</v>
      </c>
      <c r="G515" s="69">
        <f t="shared" ref="G515:G521" si="26">E515*F515</f>
        <v>420</v>
      </c>
      <c r="H515" s="69" t="s">
        <v>16</v>
      </c>
      <c r="I515" s="52">
        <v>11.6</v>
      </c>
      <c r="J515" s="52">
        <f>G515*I515+2400</f>
        <v>7272</v>
      </c>
      <c r="K515" s="52"/>
      <c r="L515" s="7" t="s">
        <v>43</v>
      </c>
      <c r="M515" s="52"/>
      <c r="N515" s="52" t="s">
        <v>419</v>
      </c>
    </row>
    <row r="516" s="8" customFormat="1" spans="1:14">
      <c r="A516" s="92" t="s">
        <v>417</v>
      </c>
      <c r="B516" s="93">
        <v>46207</v>
      </c>
      <c r="C516" s="94" t="s">
        <v>418</v>
      </c>
      <c r="D516" s="7" t="s">
        <v>33</v>
      </c>
      <c r="E516" s="10">
        <v>12</v>
      </c>
      <c r="F516" s="10">
        <v>25</v>
      </c>
      <c r="G516" s="69">
        <f t="shared" si="26"/>
        <v>300</v>
      </c>
      <c r="H516" s="69" t="s">
        <v>16</v>
      </c>
      <c r="I516" s="52">
        <v>14.6</v>
      </c>
      <c r="J516" s="52">
        <f t="shared" ref="J516:J545" si="27">G516*I516</f>
        <v>4380</v>
      </c>
      <c r="K516" s="52"/>
      <c r="L516" s="7" t="s">
        <v>43</v>
      </c>
      <c r="M516" s="52"/>
    </row>
    <row r="517" s="8" customFormat="1" spans="1:14">
      <c r="A517" s="92" t="s">
        <v>417</v>
      </c>
      <c r="B517" s="93">
        <v>46207</v>
      </c>
      <c r="C517" s="94" t="s">
        <v>418</v>
      </c>
      <c r="D517" s="7" t="s">
        <v>50</v>
      </c>
      <c r="E517" s="10">
        <v>12</v>
      </c>
      <c r="F517" s="10">
        <v>25</v>
      </c>
      <c r="G517" s="69">
        <f t="shared" si="26"/>
        <v>300</v>
      </c>
      <c r="H517" s="69" t="s">
        <v>16</v>
      </c>
      <c r="I517" s="52">
        <v>17.1</v>
      </c>
      <c r="J517" s="52">
        <f t="shared" si="27"/>
        <v>5130</v>
      </c>
      <c r="K517" s="52"/>
      <c r="L517" s="7" t="s">
        <v>43</v>
      </c>
      <c r="M517" s="52"/>
    </row>
    <row r="518" s="8" customFormat="1" spans="1:14">
      <c r="A518" s="92" t="s">
        <v>420</v>
      </c>
      <c r="B518" s="93">
        <v>46207</v>
      </c>
      <c r="C518" s="94" t="s">
        <v>75</v>
      </c>
      <c r="D518" s="16" t="s">
        <v>15</v>
      </c>
      <c r="E518" s="10">
        <v>12</v>
      </c>
      <c r="F518" s="10">
        <v>100</v>
      </c>
      <c r="G518" s="69">
        <f t="shared" si="26"/>
        <v>1200</v>
      </c>
      <c r="H518" s="69" t="s">
        <v>16</v>
      </c>
      <c r="I518" s="52">
        <v>11.6</v>
      </c>
      <c r="J518" s="52">
        <f t="shared" si="27"/>
        <v>13920</v>
      </c>
      <c r="K518" s="52"/>
      <c r="L518" s="7" t="s">
        <v>43</v>
      </c>
      <c r="M518" s="52"/>
    </row>
    <row r="519" s="8" customFormat="1" spans="1:14">
      <c r="A519" s="92" t="s">
        <v>421</v>
      </c>
      <c r="B519" s="93">
        <v>46208</v>
      </c>
      <c r="C519" s="94" t="s">
        <v>422</v>
      </c>
      <c r="D519" s="16" t="s">
        <v>15</v>
      </c>
      <c r="E519" s="10">
        <v>12</v>
      </c>
      <c r="F519" s="10">
        <v>70</v>
      </c>
      <c r="G519" s="69">
        <f t="shared" si="26"/>
        <v>840</v>
      </c>
      <c r="H519" s="69" t="s">
        <v>16</v>
      </c>
      <c r="I519" s="52">
        <v>11.6</v>
      </c>
      <c r="J519" s="52">
        <f t="shared" si="27"/>
        <v>9744</v>
      </c>
      <c r="K519" s="52"/>
      <c r="L519" s="7" t="s">
        <v>43</v>
      </c>
      <c r="M519" s="52"/>
    </row>
    <row r="520" s="8" customFormat="1" spans="1:14">
      <c r="A520" s="92" t="s">
        <v>421</v>
      </c>
      <c r="B520" s="93">
        <v>46208</v>
      </c>
      <c r="C520" s="94" t="s">
        <v>422</v>
      </c>
      <c r="D520" s="7" t="s">
        <v>33</v>
      </c>
      <c r="E520" s="10">
        <v>12</v>
      </c>
      <c r="F520" s="10">
        <v>40</v>
      </c>
      <c r="G520" s="69">
        <f t="shared" si="26"/>
        <v>480</v>
      </c>
      <c r="H520" s="69" t="s">
        <v>16</v>
      </c>
      <c r="I520" s="52">
        <v>14.6</v>
      </c>
      <c r="J520" s="52">
        <f t="shared" si="27"/>
        <v>7008</v>
      </c>
      <c r="K520" s="52"/>
      <c r="L520" s="7" t="s">
        <v>43</v>
      </c>
      <c r="M520" s="52"/>
    </row>
    <row r="521" s="8" customFormat="1" spans="1:14">
      <c r="A521" s="92" t="s">
        <v>421</v>
      </c>
      <c r="B521" s="93">
        <v>46208</v>
      </c>
      <c r="C521" s="94" t="s">
        <v>422</v>
      </c>
      <c r="D521" s="7" t="s">
        <v>34</v>
      </c>
      <c r="E521" s="10">
        <v>12</v>
      </c>
      <c r="F521" s="10">
        <v>20</v>
      </c>
      <c r="G521" s="69">
        <f t="shared" si="26"/>
        <v>240</v>
      </c>
      <c r="H521" s="69" t="s">
        <v>16</v>
      </c>
      <c r="I521" s="52">
        <v>9.6</v>
      </c>
      <c r="J521" s="52">
        <f t="shared" si="27"/>
        <v>2304</v>
      </c>
      <c r="K521" s="52"/>
      <c r="L521" s="7" t="s">
        <v>43</v>
      </c>
      <c r="M521" s="52"/>
    </row>
    <row r="522" s="8" customFormat="1" spans="1:14">
      <c r="A522" s="92" t="s">
        <v>423</v>
      </c>
      <c r="B522" s="93">
        <v>46208</v>
      </c>
      <c r="C522" s="94" t="s">
        <v>73</v>
      </c>
      <c r="D522" s="7" t="s">
        <v>40</v>
      </c>
      <c r="E522" s="10"/>
      <c r="F522" s="10">
        <v>0</v>
      </c>
      <c r="G522" s="69">
        <v>115</v>
      </c>
      <c r="H522" s="69" t="s">
        <v>16</v>
      </c>
      <c r="I522" s="52">
        <v>18.3</v>
      </c>
      <c r="J522" s="52">
        <f t="shared" si="27"/>
        <v>2104.5</v>
      </c>
      <c r="K522" s="52"/>
      <c r="L522" s="7" t="s">
        <v>43</v>
      </c>
      <c r="M522" s="52" t="s">
        <v>17</v>
      </c>
    </row>
    <row r="523" s="8" customFormat="1" spans="1:14">
      <c r="A523" s="92" t="s">
        <v>316</v>
      </c>
      <c r="B523" s="93">
        <v>46208</v>
      </c>
      <c r="C523" s="94" t="s">
        <v>317</v>
      </c>
      <c r="D523" s="16" t="s">
        <v>15</v>
      </c>
      <c r="E523" s="10">
        <v>12</v>
      </c>
      <c r="F523" s="10">
        <v>80</v>
      </c>
      <c r="G523" s="69">
        <f t="shared" ref="G523:G533" si="28">E523*F523</f>
        <v>960</v>
      </c>
      <c r="H523" s="69" t="s">
        <v>16</v>
      </c>
      <c r="I523" s="52">
        <v>11.6</v>
      </c>
      <c r="J523" s="52">
        <f t="shared" si="27"/>
        <v>11136</v>
      </c>
      <c r="K523" s="52"/>
      <c r="L523" s="7" t="s">
        <v>43</v>
      </c>
      <c r="M523" s="52"/>
    </row>
    <row r="524" s="8" customFormat="1" spans="1:14">
      <c r="A524" s="92" t="s">
        <v>408</v>
      </c>
      <c r="B524" s="93">
        <v>46209</v>
      </c>
      <c r="C524" s="94" t="s">
        <v>409</v>
      </c>
      <c r="D524" s="16" t="s">
        <v>15</v>
      </c>
      <c r="E524" s="10">
        <v>12</v>
      </c>
      <c r="F524" s="10">
        <v>100</v>
      </c>
      <c r="G524" s="69">
        <f t="shared" si="28"/>
        <v>1200</v>
      </c>
      <c r="H524" s="69" t="s">
        <v>16</v>
      </c>
      <c r="I524" s="52">
        <v>11.6</v>
      </c>
      <c r="J524" s="52">
        <f t="shared" si="27"/>
        <v>13920</v>
      </c>
      <c r="K524" s="52"/>
      <c r="L524" s="7" t="s">
        <v>43</v>
      </c>
      <c r="M524" s="52"/>
    </row>
    <row r="525" s="8" customFormat="1" spans="1:14">
      <c r="A525" s="92" t="s">
        <v>410</v>
      </c>
      <c r="B525" s="93">
        <v>46209</v>
      </c>
      <c r="C525" s="94" t="s">
        <v>411</v>
      </c>
      <c r="D525" s="7" t="s">
        <v>33</v>
      </c>
      <c r="E525" s="10">
        <v>12</v>
      </c>
      <c r="F525" s="10">
        <v>120</v>
      </c>
      <c r="G525" s="69">
        <f t="shared" si="28"/>
        <v>1440</v>
      </c>
      <c r="H525" s="69" t="s">
        <v>16</v>
      </c>
      <c r="I525" s="52">
        <v>14.6</v>
      </c>
      <c r="J525" s="52">
        <f t="shared" si="27"/>
        <v>21024</v>
      </c>
      <c r="K525" s="52"/>
      <c r="L525" s="7" t="s">
        <v>43</v>
      </c>
      <c r="M525" s="52"/>
    </row>
    <row r="526" s="8" customFormat="1" spans="1:14">
      <c r="A526" s="92" t="s">
        <v>417</v>
      </c>
      <c r="B526" s="93">
        <v>46209</v>
      </c>
      <c r="C526" s="94" t="s">
        <v>418</v>
      </c>
      <c r="D526" s="16" t="s">
        <v>15</v>
      </c>
      <c r="E526" s="10">
        <v>12</v>
      </c>
      <c r="F526" s="10">
        <v>25</v>
      </c>
      <c r="G526" s="69">
        <f t="shared" si="28"/>
        <v>300</v>
      </c>
      <c r="H526" s="69" t="s">
        <v>16</v>
      </c>
      <c r="I526" s="52">
        <v>11.6</v>
      </c>
      <c r="J526" s="52">
        <f t="shared" si="27"/>
        <v>3480</v>
      </c>
      <c r="K526" s="52"/>
      <c r="L526" s="7" t="s">
        <v>43</v>
      </c>
      <c r="M526" s="52"/>
    </row>
    <row r="527" s="8" customFormat="1" spans="1:14">
      <c r="A527" s="92" t="s">
        <v>424</v>
      </c>
      <c r="B527" s="93">
        <v>46210</v>
      </c>
      <c r="C527" s="94" t="s">
        <v>425</v>
      </c>
      <c r="D527" s="16" t="s">
        <v>15</v>
      </c>
      <c r="E527" s="10">
        <v>12</v>
      </c>
      <c r="F527" s="10">
        <v>200</v>
      </c>
      <c r="G527" s="69">
        <f t="shared" si="28"/>
        <v>2400</v>
      </c>
      <c r="H527" s="69" t="s">
        <v>16</v>
      </c>
      <c r="I527" s="52">
        <v>11.6</v>
      </c>
      <c r="J527" s="52">
        <f t="shared" si="27"/>
        <v>27840</v>
      </c>
      <c r="K527" s="52"/>
      <c r="L527" s="7" t="s">
        <v>43</v>
      </c>
      <c r="M527" s="52"/>
    </row>
    <row r="528" s="8" customFormat="1" spans="1:14">
      <c r="A528" s="92" t="s">
        <v>424</v>
      </c>
      <c r="B528" s="93">
        <v>46210</v>
      </c>
      <c r="C528" s="94" t="s">
        <v>425</v>
      </c>
      <c r="D528" s="7" t="s">
        <v>33</v>
      </c>
      <c r="E528" s="10">
        <v>12</v>
      </c>
      <c r="F528" s="10">
        <v>100</v>
      </c>
      <c r="G528" s="69">
        <f t="shared" si="28"/>
        <v>1200</v>
      </c>
      <c r="H528" s="69" t="s">
        <v>16</v>
      </c>
      <c r="I528" s="52">
        <v>14.6</v>
      </c>
      <c r="J528" s="52">
        <f t="shared" si="27"/>
        <v>17520</v>
      </c>
      <c r="K528" s="52"/>
      <c r="L528" s="7" t="s">
        <v>43</v>
      </c>
      <c r="M528" s="52"/>
    </row>
    <row r="529" s="8" customFormat="1" spans="1:21">
      <c r="A529" s="92" t="s">
        <v>424</v>
      </c>
      <c r="B529" s="93">
        <v>46210</v>
      </c>
      <c r="C529" s="94" t="s">
        <v>425</v>
      </c>
      <c r="D529" s="7" t="s">
        <v>34</v>
      </c>
      <c r="E529" s="10">
        <v>12</v>
      </c>
      <c r="F529" s="10">
        <v>50</v>
      </c>
      <c r="G529" s="69">
        <f t="shared" si="28"/>
        <v>600</v>
      </c>
      <c r="H529" s="69" t="s">
        <v>16</v>
      </c>
      <c r="I529" s="52">
        <v>9.6</v>
      </c>
      <c r="J529" s="52">
        <f t="shared" si="27"/>
        <v>5760</v>
      </c>
      <c r="K529" s="52"/>
      <c r="L529" s="7" t="s">
        <v>43</v>
      </c>
      <c r="M529" s="52"/>
    </row>
    <row r="530" s="8" customFormat="1" spans="1:21">
      <c r="A530" s="92" t="s">
        <v>426</v>
      </c>
      <c r="B530" s="93">
        <v>46210</v>
      </c>
      <c r="C530" s="94" t="s">
        <v>425</v>
      </c>
      <c r="D530" s="7" t="s">
        <v>39</v>
      </c>
      <c r="E530" s="10">
        <v>12</v>
      </c>
      <c r="F530" s="10">
        <v>30</v>
      </c>
      <c r="G530" s="69">
        <f t="shared" si="28"/>
        <v>360</v>
      </c>
      <c r="H530" s="69" t="s">
        <v>16</v>
      </c>
      <c r="I530" s="52">
        <v>14.8</v>
      </c>
      <c r="J530" s="52">
        <f t="shared" si="27"/>
        <v>5328</v>
      </c>
      <c r="K530" s="52"/>
      <c r="L530" s="7" t="s">
        <v>43</v>
      </c>
      <c r="M530" s="52"/>
    </row>
    <row r="531" s="8" customFormat="1" spans="1:21">
      <c r="A531" s="92" t="s">
        <v>427</v>
      </c>
      <c r="B531" s="93">
        <v>46211</v>
      </c>
      <c r="C531" s="94" t="s">
        <v>428</v>
      </c>
      <c r="D531" s="17" t="s">
        <v>48</v>
      </c>
      <c r="E531" s="10">
        <v>12</v>
      </c>
      <c r="F531" s="10">
        <v>15</v>
      </c>
      <c r="G531" s="69">
        <f t="shared" si="28"/>
        <v>180</v>
      </c>
      <c r="H531" s="69" t="s">
        <v>16</v>
      </c>
      <c r="I531" s="52">
        <v>14.8</v>
      </c>
      <c r="J531" s="52">
        <f t="shared" si="27"/>
        <v>2664</v>
      </c>
      <c r="K531" s="52"/>
      <c r="L531" s="7" t="s">
        <v>43</v>
      </c>
      <c r="M531" s="52"/>
    </row>
    <row r="532" s="8" customFormat="1" spans="1:21">
      <c r="A532" s="92" t="s">
        <v>429</v>
      </c>
      <c r="B532" s="93">
        <v>46211</v>
      </c>
      <c r="C532" s="94" t="s">
        <v>430</v>
      </c>
      <c r="D532" s="29" t="s">
        <v>32</v>
      </c>
      <c r="E532" s="10">
        <v>12</v>
      </c>
      <c r="F532" s="10">
        <v>17</v>
      </c>
      <c r="G532" s="69">
        <f t="shared" si="28"/>
        <v>204</v>
      </c>
      <c r="H532" s="69" t="s">
        <v>16</v>
      </c>
      <c r="I532" s="52">
        <v>14.6</v>
      </c>
      <c r="J532" s="52">
        <f t="shared" si="27"/>
        <v>2978.4</v>
      </c>
      <c r="K532" s="52"/>
      <c r="L532" s="7" t="s">
        <v>43</v>
      </c>
      <c r="M532" s="52"/>
    </row>
    <row r="533" s="10" customFormat="1" ht="22.5" hidden="1" customHeight="1" spans="1:21">
      <c r="A533" s="95" t="s">
        <v>23</v>
      </c>
      <c r="B533" s="96">
        <v>46209</v>
      </c>
      <c r="C533" s="95" t="s">
        <v>22</v>
      </c>
      <c r="D533" s="16" t="s">
        <v>15</v>
      </c>
      <c r="E533" s="95">
        <v>12</v>
      </c>
      <c r="F533" s="95">
        <v>100</v>
      </c>
      <c r="G533" s="69">
        <f t="shared" si="28"/>
        <v>1200</v>
      </c>
      <c r="H533" s="98" t="s">
        <v>16</v>
      </c>
      <c r="I533" s="10">
        <v>15.8</v>
      </c>
      <c r="J533" s="52">
        <f t="shared" si="27"/>
        <v>18960</v>
      </c>
      <c r="K533" s="76"/>
      <c r="L533" s="68" t="s">
        <v>17</v>
      </c>
      <c r="M533" s="76"/>
      <c r="N533" s="76"/>
      <c r="O533" s="76"/>
      <c r="P533" s="76"/>
      <c r="Q533" s="72"/>
      <c r="R533" s="72"/>
      <c r="S533" s="72"/>
      <c r="T533" s="72"/>
      <c r="U533" s="72"/>
    </row>
    <row r="534" s="8" customFormat="1" spans="1:21">
      <c r="A534" s="92" t="s">
        <v>431</v>
      </c>
      <c r="B534" s="93">
        <v>46212</v>
      </c>
      <c r="C534" s="94" t="s">
        <v>73</v>
      </c>
      <c r="D534" s="7" t="s">
        <v>40</v>
      </c>
      <c r="E534" s="10"/>
      <c r="F534" s="10"/>
      <c r="G534" s="69">
        <v>50</v>
      </c>
      <c r="H534" s="69" t="s">
        <v>16</v>
      </c>
      <c r="I534" s="52">
        <v>18.3</v>
      </c>
      <c r="J534" s="52">
        <f t="shared" si="27"/>
        <v>915</v>
      </c>
      <c r="K534" s="52"/>
      <c r="L534" s="7" t="s">
        <v>43</v>
      </c>
      <c r="M534" s="52" t="s">
        <v>17</v>
      </c>
    </row>
    <row r="535" s="8" customFormat="1" spans="1:21">
      <c r="A535" s="92" t="s">
        <v>371</v>
      </c>
      <c r="B535" s="93">
        <v>46216</v>
      </c>
      <c r="C535" s="94" t="s">
        <v>372</v>
      </c>
      <c r="D535" s="92" t="s">
        <v>100</v>
      </c>
      <c r="E535" s="10">
        <v>12</v>
      </c>
      <c r="F535" s="10">
        <v>3</v>
      </c>
      <c r="G535" s="69">
        <f t="shared" ref="G535:G545" si="29">E535*F535</f>
        <v>36</v>
      </c>
      <c r="H535" s="69" t="s">
        <v>16</v>
      </c>
      <c r="I535" s="52">
        <v>35</v>
      </c>
      <c r="J535" s="52">
        <f t="shared" si="27"/>
        <v>1260</v>
      </c>
      <c r="K535" s="52"/>
      <c r="L535" s="7" t="s">
        <v>43</v>
      </c>
      <c r="M535" s="52"/>
    </row>
    <row r="536" s="8" customFormat="1" spans="1:21">
      <c r="A536" s="92" t="s">
        <v>373</v>
      </c>
      <c r="B536" s="93">
        <v>46217</v>
      </c>
      <c r="C536" s="94" t="s">
        <v>374</v>
      </c>
      <c r="D536" s="29" t="s">
        <v>32</v>
      </c>
      <c r="E536" s="10">
        <v>8</v>
      </c>
      <c r="F536" s="10">
        <v>32</v>
      </c>
      <c r="G536" s="69">
        <f t="shared" si="29"/>
        <v>256</v>
      </c>
      <c r="H536" s="69" t="s">
        <v>16</v>
      </c>
      <c r="I536" s="52"/>
      <c r="J536" s="52">
        <f t="shared" si="27"/>
        <v>0</v>
      </c>
      <c r="K536" s="52"/>
      <c r="L536" s="7" t="s">
        <v>43</v>
      </c>
      <c r="M536" s="52"/>
      <c r="N536" s="8" t="s">
        <v>432</v>
      </c>
    </row>
    <row r="537" s="8" customFormat="1" spans="1:21">
      <c r="A537" s="92" t="s">
        <v>433</v>
      </c>
      <c r="B537" s="93">
        <v>46217</v>
      </c>
      <c r="C537" s="94" t="s">
        <v>434</v>
      </c>
      <c r="D537" s="7" t="s">
        <v>39</v>
      </c>
      <c r="E537" s="10">
        <v>12</v>
      </c>
      <c r="F537" s="10">
        <v>15</v>
      </c>
      <c r="G537" s="69">
        <f t="shared" si="29"/>
        <v>180</v>
      </c>
      <c r="H537" s="69" t="s">
        <v>16</v>
      </c>
      <c r="I537" s="52">
        <v>14.8</v>
      </c>
      <c r="J537" s="52">
        <f t="shared" si="27"/>
        <v>2664</v>
      </c>
      <c r="K537" s="52"/>
      <c r="L537" s="7" t="s">
        <v>43</v>
      </c>
      <c r="M537" s="52"/>
    </row>
    <row r="538" s="8" customFormat="1" spans="1:21">
      <c r="A538" s="92" t="s">
        <v>433</v>
      </c>
      <c r="B538" s="93">
        <v>46217</v>
      </c>
      <c r="C538" s="94" t="s">
        <v>434</v>
      </c>
      <c r="D538" s="16" t="s">
        <v>15</v>
      </c>
      <c r="E538" s="10">
        <v>12</v>
      </c>
      <c r="F538" s="10">
        <v>15</v>
      </c>
      <c r="G538" s="69">
        <f t="shared" si="29"/>
        <v>180</v>
      </c>
      <c r="H538" s="69" t="s">
        <v>16</v>
      </c>
      <c r="I538" s="52">
        <v>11.6</v>
      </c>
      <c r="J538" s="52">
        <f t="shared" si="27"/>
        <v>2088</v>
      </c>
      <c r="K538" s="52"/>
      <c r="L538" s="7" t="s">
        <v>43</v>
      </c>
      <c r="M538" s="52"/>
    </row>
    <row r="539" s="8" customFormat="1" spans="1:21">
      <c r="A539" s="92" t="s">
        <v>435</v>
      </c>
      <c r="B539" s="93">
        <v>46217</v>
      </c>
      <c r="C539" s="94" t="s">
        <v>77</v>
      </c>
      <c r="D539" s="7" t="s">
        <v>34</v>
      </c>
      <c r="E539" s="10">
        <v>12</v>
      </c>
      <c r="F539" s="10">
        <v>20</v>
      </c>
      <c r="G539" s="69">
        <f t="shared" si="29"/>
        <v>240</v>
      </c>
      <c r="H539" s="69" t="s">
        <v>16</v>
      </c>
      <c r="I539" s="52">
        <v>11.5</v>
      </c>
      <c r="J539" s="52">
        <f t="shared" si="27"/>
        <v>2760</v>
      </c>
      <c r="K539" s="52"/>
      <c r="L539" s="7" t="s">
        <v>43</v>
      </c>
      <c r="M539" s="52"/>
    </row>
    <row r="540" s="8" customFormat="1" spans="1:21">
      <c r="A540" s="92" t="s">
        <v>436</v>
      </c>
      <c r="B540" s="93">
        <v>46217</v>
      </c>
      <c r="C540" s="94" t="s">
        <v>77</v>
      </c>
      <c r="D540" s="16" t="s">
        <v>15</v>
      </c>
      <c r="E540" s="10">
        <v>12</v>
      </c>
      <c r="F540" s="10">
        <v>20</v>
      </c>
      <c r="G540" s="69">
        <f t="shared" si="29"/>
        <v>240</v>
      </c>
      <c r="H540" s="69" t="s">
        <v>16</v>
      </c>
      <c r="I540" s="52">
        <v>14</v>
      </c>
      <c r="J540" s="52">
        <f t="shared" si="27"/>
        <v>3360</v>
      </c>
      <c r="K540" s="52"/>
      <c r="L540" s="7" t="s">
        <v>43</v>
      </c>
      <c r="M540" s="52"/>
    </row>
    <row r="541" s="8" customFormat="1" spans="1:21">
      <c r="A541" s="92" t="s">
        <v>436</v>
      </c>
      <c r="B541" s="93">
        <v>46217</v>
      </c>
      <c r="C541" s="94" t="s">
        <v>77</v>
      </c>
      <c r="D541" s="17" t="s">
        <v>48</v>
      </c>
      <c r="E541" s="10">
        <v>12</v>
      </c>
      <c r="F541" s="10">
        <v>30</v>
      </c>
      <c r="G541" s="69">
        <f t="shared" si="29"/>
        <v>360</v>
      </c>
      <c r="H541" s="69" t="s">
        <v>16</v>
      </c>
      <c r="I541" s="52">
        <v>18</v>
      </c>
      <c r="J541" s="52">
        <f t="shared" si="27"/>
        <v>6480</v>
      </c>
      <c r="K541" s="52"/>
      <c r="L541" s="7" t="s">
        <v>43</v>
      </c>
      <c r="M541" s="52"/>
    </row>
    <row r="542" s="8" customFormat="1" spans="1:21">
      <c r="A542" s="92" t="s">
        <v>437</v>
      </c>
      <c r="B542" s="93">
        <v>46217</v>
      </c>
      <c r="C542" s="94" t="s">
        <v>52</v>
      </c>
      <c r="D542" s="16" t="s">
        <v>15</v>
      </c>
      <c r="E542" s="10">
        <v>12</v>
      </c>
      <c r="F542" s="10">
        <v>10</v>
      </c>
      <c r="G542" s="69">
        <f t="shared" si="29"/>
        <v>120</v>
      </c>
      <c r="H542" s="69" t="s">
        <v>16</v>
      </c>
      <c r="I542" s="52">
        <v>12.5</v>
      </c>
      <c r="J542" s="52">
        <f t="shared" si="27"/>
        <v>1500</v>
      </c>
      <c r="K542" s="52"/>
      <c r="L542" s="7" t="s">
        <v>43</v>
      </c>
      <c r="M542" s="52"/>
    </row>
    <row r="543" s="8" customFormat="1" spans="1:21">
      <c r="A543" s="92" t="s">
        <v>438</v>
      </c>
      <c r="B543" s="93">
        <v>46217</v>
      </c>
      <c r="C543" s="94" t="s">
     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c>
      <c r="H543" s="69" t="s">
        <v>16</v>
      </c>
      <c r="I543" s="52">
        <v>12.5</v>
      </c>
      <c r="J543" s="52">
        <f t="shared" si="27"/>
        <v>3750</v>
      </c>
      <c r="K543" s="52"/>
      <c r="L543" s="7" t="s">
        <v>43</v>
      </c>
      <c r="M543" s="52"/>
    </row>
    <row r="544" s="8" customFormat="1" spans="1:21">
      <c r="A544" s="92" t="s">
        <v>438</v>
      </c>
      <c r="B544" s="93">
        <v>46217</v>
      </c>
      <c r="C544" s="94" t="s">
        <v>52</v>
      </c>
      <c r="D544" s="7" t="s">
        <v>39</v>
      </c>
      <c r="E544" s="10">
        <v>12</v>
      </c>
      <c r="F544" s="10">
        <v>25</v>
      </c>
      <c r="G544" s="69">
        <f t="shared" si="29"/>
        <v>300</v>
      </c>
      <c r="H544" s="69" t="s">
        <v>16</v>
      </c>
      <c r="I544" s="52">
        <v>16</v>
      </c>
      <c r="J544" s="52">
        <f t="shared" si="27"/>
        <v>4800</v>
      </c>
      <c r="K544" s="52"/>
      <c r="L544" s="7" t="s">
        <v>43</v>
      </c>
      <c r="M544" s="52"/>
    </row>
    <row r="545" s="8" customFormat="1" spans="1:13">
      <c r="A545" s="92" t="s">
        <v>439</v>
      </c>
      <c r="B545" s="93">
        <v>46217</v>
      </c>
      <c r="C545" s="94" t="s">
        <v>440</v>
      </c>
      <c r="D545" s="7" t="s">
        <v>50</v>
      </c>
      <c r="E545" s="10">
        <v>12</v>
      </c>
      <c r="F545" s="10">
        <v>10</v>
      </c>
      <c r="G545" s="69">
        <f t="shared" si="29"/>
        <v>120</v>
      </c>
      <c r="H545" s="69" t="s">
        <v>16</v>
      </c>
      <c r="I545" s="52">
        <v>17.1</v>
      </c>
      <c r="J545" s="52">
        <f t="shared" si="27"/>
        <v>2052</v>
      </c>
      <c r="K545" s="52"/>
      <c r="L545" s="7" t="s">
        <v>43</v>
      </c>
      <c r="M545" s="52"/>
    </row>
    <row r="546" s="8" customFormat="1" spans="1:13">
      <c r="A546" s="92" t="s">
        <v>441</v>
      </c>
      <c r="B546" s="93">
        <v>46218</v>
      </c>
      <c r="C546" s="94" t="s">
        <v>73</v>
      </c>
      <c r="D546" s="7" t="s">
        <v>33</v>
      </c>
      <c r="E546" s="10">
        <v>12</v>
      </c>
      <c r="F546" s="10">
        <v>50</v>
      </c>
      <c r="G546" s="69">
        <v>600</v>
      </c>
      <c r="H546" s="69" t="s">
        <v>16</v>
      </c>
      <c r="I546" s="52">
        <v>15.5</v>
      </c>
      <c r="J546" s="52">
        <f>I546*G546</f>
        <v>9300</v>
      </c>
      <c r="K546" s="52"/>
      <c r="L546" s="7" t="s">
        <v>43</v>
      </c>
      <c r="M546" s="52" t="s">
        <v>17</v>
      </c>
    </row>
    <row r="547" s="8" customFormat="1" spans="1:13">
      <c r="A547" s="92" t="s">
        <v>442</v>
      </c>
      <c r="B547" s="93">
        <v>46220</v>
      </c>
      <c r="C547" s="94" t="s">
        <v>443</v>
      </c>
      <c r="D547" s="7" t="s">
        <v>34</v>
      </c>
      <c r="E547" s="10">
        <v>12</v>
      </c>
      <c r="F547" s="10">
        <v>5</v>
      </c>
      <c r="G547" s="69">
        <f t="shared" ref="G547:G557" si="30">E547*F547</f>
        <v>60</v>
      </c>
      <c r="H547" s="69" t="s">
        <v>16</v>
      </c>
      <c r="I547" s="52">
        <v>9.6</v>
      </c>
      <c r="J547" s="52">
        <f t="shared" ref="J547:J610" si="31">G547*I547</f>
        <v>576</v>
      </c>
      <c r="K547" s="52"/>
      <c r="L547" s="7" t="s">
        <v>43</v>
      </c>
      <c r="M547" s="52"/>
    </row>
    <row r="548" s="8" customFormat="1" spans="1:13">
      <c r="A548" s="92" t="s">
        <v>442</v>
      </c>
      <c r="B548" s="93">
        <v>46220</v>
      </c>
      <c r="C548" s="94" t="s">
        <v>443</v>
      </c>
      <c r="D548" s="16" t="s">
        <v>15</v>
      </c>
      <c r="E548" s="10">
        <v>12</v>
      </c>
      <c r="F548" s="10">
        <v>10</v>
      </c>
      <c r="G548" s="69">
        <f t="shared" si="30"/>
        <v>120</v>
      </c>
      <c r="H548" s="69" t="s">
        <v>16</v>
      </c>
      <c r="I548" s="52">
        <v>11.6</v>
      </c>
      <c r="J548" s="52">
        <f t="shared" si="31"/>
        <v>1392</v>
      </c>
      <c r="K548" s="52"/>
      <c r="L548" s="7" t="s">
        <v>43</v>
      </c>
      <c r="M548" s="52"/>
    </row>
    <row r="549" s="8" customFormat="1" spans="1:13">
      <c r="A549" s="92" t="s">
        <v>442</v>
      </c>
      <c r="B549" s="93">
        <v>46220</v>
      </c>
      <c r="C549" s="94" t="s">
        <v>443</v>
      </c>
      <c r="D549" s="7" t="s">
        <v>33</v>
      </c>
      <c r="E549" s="10">
        <v>12</v>
      </c>
      <c r="F549" s="10">
        <v>10</v>
      </c>
      <c r="G549" s="69">
        <f t="shared" si="30"/>
        <v>120</v>
      </c>
      <c r="H549" s="69" t="s">
        <v>16</v>
      </c>
      <c r="I549" s="52">
        <v>14.6</v>
      </c>
      <c r="J549" s="52">
        <f t="shared" si="31"/>
        <v>1752</v>
      </c>
      <c r="K549" s="52"/>
      <c r="L549" s="7" t="s">
        <v>43</v>
      </c>
      <c r="M549" s="52"/>
    </row>
    <row r="550" s="8" customFormat="1" spans="1:13">
      <c r="A550" s="92" t="s">
        <v>442</v>
      </c>
      <c r="B550" s="93">
        <v>46220</v>
      </c>
      <c r="C550" s="94" t="s">
        <v>443</v>
      </c>
      <c r="D550" s="7" t="s">
        <v>50</v>
      </c>
      <c r="E550" s="10">
        <v>12</v>
      </c>
      <c r="F550" s="10">
        <v>10</v>
      </c>
      <c r="G550" s="69">
        <f t="shared" si="30"/>
        <v>120</v>
      </c>
      <c r="H550" s="69" t="s">
        <v>16</v>
      </c>
      <c r="I550" s="52">
        <v>17.1</v>
      </c>
      <c r="J550" s="52">
        <f t="shared" si="31"/>
        <v>2052</v>
      </c>
      <c r="K550" s="52"/>
      <c r="L550" s="7" t="s">
        <v>43</v>
      </c>
      <c r="M550" s="52"/>
    </row>
    <row r="551" s="8" customFormat="1" spans="1:13">
      <c r="A551" s="92" t="s">
        <v>442</v>
      </c>
      <c r="B551" s="93">
        <v>46220</v>
      </c>
      <c r="C551" s="94" t="s">
        <v>443</v>
      </c>
      <c r="D551" s="65" t="s">
        <v>300</v>
      </c>
      <c r="E551" s="10">
        <v>24</v>
      </c>
      <c r="F551" s="10">
        <v>2</v>
      </c>
      <c r="G551" s="69">
        <f t="shared" si="30"/>
        <v>48</v>
      </c>
      <c r="H551" s="69" t="s">
        <v>16</v>
      </c>
      <c r="I551" s="52">
        <v>7.8</v>
      </c>
      <c r="J551" s="52">
        <f t="shared" si="31"/>
        <v>374.4</v>
      </c>
      <c r="K551" s="52"/>
      <c r="L551" s="7" t="s">
        <v>43</v>
      </c>
      <c r="M551" s="52"/>
    </row>
    <row r="552" s="8" customFormat="1" spans="1:13">
      <c r="A552" s="92" t="s">
        <v>442</v>
      </c>
      <c r="B552" s="93">
        <v>46220</v>
      </c>
      <c r="C552" s="94" t="s">
        <v>443</v>
      </c>
      <c r="D552" s="7" t="s">
        <v>40</v>
      </c>
      <c r="E552" s="10">
        <v>12</v>
      </c>
      <c r="F552" s="10">
        <v>5</v>
      </c>
      <c r="G552" s="69">
        <f t="shared" si="30"/>
        <v>60</v>
      </c>
      <c r="H552" s="69" t="s">
        <v>16</v>
      </c>
      <c r="I552" s="52">
        <v>17.5</v>
      </c>
      <c r="J552" s="52">
        <f t="shared" si="31"/>
        <v>1050</v>
      </c>
      <c r="K552" s="52"/>
      <c r="L552" s="7" t="s">
        <v>43</v>
      </c>
      <c r="M552" s="52"/>
    </row>
    <row r="553" s="8" customFormat="1" spans="1:13">
      <c r="A553" s="92" t="s">
        <v>444</v>
      </c>
      <c r="B553" s="93">
        <v>46220</v>
      </c>
      <c r="C553" s="94" t="s">
        <v>445</v>
      </c>
      <c r="D553" s="16" t="s">
        <v>15</v>
      </c>
      <c r="E553" s="10">
        <v>12</v>
      </c>
      <c r="F553" s="10">
        <v>25</v>
      </c>
      <c r="G553" s="69">
        <f t="shared" si="30"/>
        <v>300</v>
      </c>
      <c r="H553" s="69" t="s">
        <v>16</v>
      </c>
      <c r="I553" s="52">
        <v>11.6</v>
      </c>
      <c r="J553" s="52">
        <f t="shared" si="31"/>
        <v>3480</v>
      </c>
      <c r="K553" s="52"/>
      <c r="L553" s="7" t="s">
        <v>43</v>
      </c>
      <c r="M553" s="52"/>
    </row>
    <row r="554" s="8" customFormat="1" spans="1:13">
      <c r="A554" s="92" t="s">
        <v>444</v>
      </c>
      <c r="B554" s="93">
        <v>46220</v>
      </c>
      <c r="C554" s="94" t="s">
        <v>445</v>
      </c>
      <c r="D554" s="7" t="s">
        <v>34</v>
      </c>
      <c r="E554" s="10">
        <v>12</v>
      </c>
      <c r="F554" s="10">
        <v>25</v>
      </c>
      <c r="G554" s="69">
        <f t="shared" si="30"/>
        <v>300</v>
      </c>
      <c r="H554" s="69" t="s">
        <v>16</v>
      </c>
      <c r="I554" s="52">
        <v>9.6</v>
      </c>
      <c r="J554" s="52">
        <f t="shared" si="31"/>
        <v>2880</v>
      </c>
      <c r="K554" s="52"/>
      <c r="L554" s="7" t="s">
        <v>43</v>
      </c>
      <c r="M554" s="52"/>
    </row>
    <row r="555" s="8" customFormat="1" spans="1:13">
      <c r="A555" s="92" t="s">
        <v>446</v>
      </c>
      <c r="B555" s="93">
        <v>46220</v>
      </c>
      <c r="C555" s="94" t="s">
        <v>447</v>
      </c>
      <c r="D555" s="7" t="s">
        <v>34</v>
      </c>
      <c r="E555" s="10">
        <v>12</v>
      </c>
      <c r="F555" s="10">
        <v>6</v>
      </c>
      <c r="G555" s="69">
        <f t="shared" si="30"/>
        <v>72</v>
      </c>
      <c r="H555" s="69" t="s">
        <v>16</v>
      </c>
      <c r="I555" s="52">
        <v>9.6</v>
      </c>
      <c r="J555" s="52">
        <f t="shared" si="31"/>
        <v>691.2</v>
      </c>
      <c r="K555" s="52"/>
      <c r="L555" s="7" t="s">
        <v>43</v>
      </c>
      <c r="M555" s="52"/>
    </row>
    <row r="556" s="8" customFormat="1" spans="1:13">
      <c r="A556" s="92" t="s">
        <v>446</v>
      </c>
      <c r="B556" s="93">
        <v>46220</v>
      </c>
      <c r="C556" s="94" t="s">
        <v>447</v>
      </c>
      <c r="D556" s="16" t="s">
        <v>15</v>
      </c>
      <c r="E556" s="10">
        <v>12</v>
      </c>
      <c r="F556" s="10">
        <v>8</v>
      </c>
      <c r="G556" s="69">
        <f t="shared" si="30"/>
        <v>96</v>
      </c>
      <c r="H556" s="69" t="s">
        <v>16</v>
      </c>
      <c r="I556" s="52">
        <v>11.6</v>
      </c>
      <c r="J556" s="52">
        <f t="shared" si="31"/>
        <v>1113.6</v>
      </c>
      <c r="K556" s="52"/>
      <c r="L556" s="7" t="s">
        <v>43</v>
      </c>
      <c r="M556" s="52"/>
    </row>
    <row r="557" s="8" customFormat="1" spans="1:13">
      <c r="A557" s="92" t="s">
        <v>448</v>
      </c>
      <c r="B557" s="93">
        <v>46220</v>
      </c>
      <c r="C557" s="94" t="s">
        <v>75</v>
      </c>
      <c r="D557" s="7" t="s">
        <v>50</v>
      </c>
      <c r="E557" s="10">
        <v>12</v>
      </c>
      <c r="F557" s="10">
        <v>10</v>
      </c>
      <c r="G557" s="69">
        <f t="shared" si="30"/>
        <v>120</v>
      </c>
      <c r="H557" s="69" t="s">
        <v>16</v>
      </c>
      <c r="I557" s="52">
        <v>17.1</v>
      </c>
      <c r="J557" s="52">
        <f t="shared" si="31"/>
        <v>2052</v>
      </c>
      <c r="K557" s="52"/>
      <c r="L557" s="7" t="s">
        <v>43</v>
      </c>
      <c r="M557" s="52"/>
    </row>
    <row r="558" s="8" customFormat="1" spans="1:13">
      <c r="A558" s="92" t="s">
        <v>449</v>
      </c>
      <c r="B558" s="93">
        <v>46220</v>
      </c>
      <c r="C558" s="94" t="s">
        <v>73</v>
      </c>
      <c r="D558" s="7" t="s">
        <v>40</v>
      </c>
      <c r="E558" s="10">
        <v>12</v>
      </c>
      <c r="F558" s="10">
        <v>4</v>
      </c>
      <c r="G558" s="69">
        <v>48</v>
      </c>
      <c r="H558" s="69" t="s">
        <v>16</v>
      </c>
      <c r="I558" s="52">
        <v>18.3</v>
      </c>
      <c r="J558" s="52">
        <f t="shared" si="31"/>
        <v>878.4</v>
      </c>
      <c r="K558" s="52"/>
      <c r="L558" s="7" t="s">
        <v>43</v>
      </c>
      <c r="M558" s="52" t="s">
        <v>17</v>
      </c>
    </row>
    <row r="559" s="8" customFormat="1" spans="1:13">
      <c r="A559" s="92" t="s">
        <v>408</v>
      </c>
      <c r="B559" s="93">
        <v>46221</v>
      </c>
      <c r="C559" s="94" t="s">
        <v>409</v>
      </c>
      <c r="D559" s="16" t="s">
        <v>15</v>
      </c>
      <c r="E559" s="10">
        <v>12</v>
      </c>
      <c r="F559" s="10">
        <v>150</v>
      </c>
      <c r="G559" s="69">
        <f>E559*F559</f>
        <v>1800</v>
      </c>
      <c r="H559" s="69" t="s">
        <v>16</v>
      </c>
      <c r="I559" s="52">
        <v>11.6</v>
      </c>
      <c r="J559" s="52">
        <f t="shared" si="31"/>
        <v>20880</v>
      </c>
      <c r="K559" s="52"/>
      <c r="L559" s="7" t="s">
        <v>43</v>
      </c>
      <c r="M559" s="52"/>
    </row>
    <row r="560" s="8" customFormat="1" spans="1:13">
      <c r="A560" s="92" t="s">
        <v>410</v>
      </c>
      <c r="B560" s="93">
        <v>46221</v>
      </c>
      <c r="C560" s="94" t="s">
        <v>411</v>
      </c>
      <c r="D560" s="7" t="s">
        <v>33</v>
      </c>
      <c r="E560" s="10">
        <v>12</v>
      </c>
      <c r="F560" s="10">
        <v>350</v>
      </c>
      <c r="G560" s="69">
        <f>E560*F560</f>
        <v>4200</v>
      </c>
      <c r="H560" s="69" t="s">
        <v>16</v>
      </c>
      <c r="I560" s="52">
        <v>14.6</v>
      </c>
      <c r="J560" s="52">
        <f t="shared" si="31"/>
        <v>61320</v>
      </c>
      <c r="K560" s="52"/>
      <c r="L560" s="7" t="s">
        <v>43</v>
      </c>
      <c r="M560" s="52"/>
    </row>
    <row r="561" s="8" customFormat="1" spans="1:14">
      <c r="A561" s="92" t="s">
        <v>450</v>
      </c>
      <c r="B561" s="93">
        <v>46221</v>
      </c>
      <c r="C561" s="94" t="s">
        <v>135</v>
      </c>
      <c r="D561" s="17" t="s">
        <v>48</v>
      </c>
      <c r="E561" s="10">
        <v>12</v>
      </c>
      <c r="F561" s="10">
        <v>10</v>
      </c>
      <c r="G561" s="69">
        <f>E561*F561</f>
        <v>120</v>
      </c>
      <c r="H561" s="69" t="s">
        <v>16</v>
      </c>
      <c r="I561" s="52">
        <v>16.5</v>
      </c>
      <c r="J561" s="52">
        <f t="shared" si="31"/>
        <v>1980</v>
      </c>
      <c r="K561" s="52"/>
      <c r="L561" s="7" t="s">
        <v>43</v>
      </c>
      <c r="M561" s="52"/>
    </row>
    <row r="562" s="8" customFormat="1" spans="1:14">
      <c r="A562" s="92" t="s">
        <v>450</v>
      </c>
      <c r="B562" s="93">
        <v>46221</v>
      </c>
      <c r="C562" s="94" t="s">
        <v>135</v>
      </c>
      <c r="D562" s="29" t="s">
        <v>95</v>
      </c>
      <c r="E562" s="10">
        <v>12</v>
      </c>
      <c r="F562" s="10">
        <v>10</v>
      </c>
      <c r="G562" s="69">
        <f>E562*F562</f>
        <v>120</v>
      </c>
      <c r="H562" s="69" t="s">
        <v>16</v>
      </c>
      <c r="I562" s="52">
        <v>20.5</v>
      </c>
      <c r="J562" s="52">
        <f t="shared" si="31"/>
        <v>2460</v>
      </c>
      <c r="K562" s="52"/>
      <c r="L562" s="7" t="s">
        <v>43</v>
      </c>
      <c r="M562" s="52"/>
    </row>
    <row r="563" s="8" customFormat="1" spans="1:14">
      <c r="A563" s="92" t="s">
        <v>451</v>
      </c>
      <c r="B563" s="93">
        <v>46221</v>
      </c>
      <c r="C563" s="94" t="s">
        <v>73</v>
      </c>
      <c r="D563" s="7" t="s">
        <v>40</v>
      </c>
      <c r="E563" s="10">
        <v>12</v>
      </c>
      <c r="F563" s="10">
        <v>2</v>
      </c>
      <c r="G563" s="69">
        <v>24</v>
      </c>
      <c r="H563" s="69" t="s">
        <v>16</v>
      </c>
      <c r="I563" s="52">
        <v>18.3</v>
      </c>
      <c r="J563" s="52">
        <f t="shared" si="31"/>
        <v>439.2</v>
      </c>
      <c r="K563" s="52"/>
      <c r="L563" s="7" t="s">
        <v>43</v>
      </c>
      <c r="M563" s="52" t="s">
        <v>17</v>
      </c>
    </row>
    <row r="564" s="8" customFormat="1" spans="1:14">
      <c r="A564" s="92" t="s">
        <v>452</v>
      </c>
      <c r="B564" s="93">
        <v>46222</v>
      </c>
      <c r="C564" s="94" t="s">
        <v>453</v>
      </c>
      <c r="D564" s="7" t="s">
        <v>34</v>
      </c>
      <c r="E564" s="10">
        <v>12</v>
      </c>
      <c r="F564" s="10">
        <v>5</v>
      </c>
      <c r="G564" s="69">
        <f t="shared" ref="G564:G610" si="32">E564*F564</f>
        <v>60</v>
      </c>
      <c r="H564" s="69" t="s">
        <v>16</v>
      </c>
      <c r="I564" s="52">
        <v>9.6</v>
      </c>
      <c r="J564" s="52">
        <f t="shared" si="31"/>
        <v>576</v>
      </c>
      <c r="K564" s="52"/>
      <c r="L564" s="7" t="s">
        <v>43</v>
      </c>
      <c r="M564" s="52"/>
    </row>
    <row r="565" s="8" customFormat="1" spans="1:14">
      <c r="A565" s="92" t="s">
        <v>452</v>
      </c>
      <c r="B565" s="93">
        <v>46222</v>
      </c>
      <c r="C565" s="94" t="s">
        <v>453</v>
      </c>
      <c r="D565" s="16" t="s">
        <v>15</v>
      </c>
      <c r="E565" s="10">
        <v>12</v>
      </c>
      <c r="F565" s="10">
        <v>5</v>
      </c>
      <c r="G565" s="69">
        <f t="shared" si="32"/>
        <v>60</v>
      </c>
      <c r="H565" s="69" t="s">
        <v>16</v>
      </c>
      <c r="I565" s="52">
        <v>11.6</v>
      </c>
      <c r="J565" s="52">
        <f t="shared" si="31"/>
        <v>696</v>
      </c>
      <c r="K565" s="52"/>
      <c r="L565" s="7" t="s">
        <v>43</v>
      </c>
      <c r="M565" s="52"/>
    </row>
    <row r="566" s="8" customFormat="1" spans="1:14">
      <c r="A566" s="92" t="s">
        <v>452</v>
      </c>
      <c r="B566" s="93">
        <v>46222</v>
      </c>
      <c r="C566" s="94" t="s">
        <v>453</v>
      </c>
      <c r="D566" s="7" t="s">
        <v>33</v>
      </c>
      <c r="E566" s="10">
        <v>12</v>
      </c>
      <c r="F566" s="10">
        <v>5</v>
      </c>
      <c r="G566" s="69">
        <f t="shared" si="32"/>
        <v>60</v>
      </c>
      <c r="H566" s="69" t="s">
        <v>16</v>
      </c>
      <c r="I566" s="52">
        <v>14.6</v>
      </c>
      <c r="J566" s="52">
        <f t="shared" si="31"/>
        <v>876</v>
      </c>
      <c r="K566" s="52"/>
      <c r="L566" s="7" t="s">
        <v>43</v>
      </c>
      <c r="M566" s="52"/>
    </row>
    <row r="567" s="8" customFormat="1" spans="1:14">
      <c r="A567" s="92" t="s">
        <v>454</v>
      </c>
      <c r="B567" s="93">
        <v>46222</v>
      </c>
      <c r="C567" s="94" t="s">
        <v>455</v>
      </c>
      <c r="D567" s="16" t="s">
        <v>15</v>
      </c>
      <c r="E567" s="10">
        <v>12</v>
      </c>
      <c r="F567" s="10">
        <v>3</v>
      </c>
      <c r="G567" s="69">
        <f t="shared" si="32"/>
        <v>36</v>
      </c>
      <c r="H567" s="69" t="s">
        <v>16</v>
      </c>
      <c r="I567" s="52">
        <v>11.6</v>
      </c>
      <c r="J567" s="52">
        <f t="shared" si="31"/>
        <v>417.6</v>
      </c>
      <c r="K567" s="52"/>
      <c r="L567" s="7" t="s">
        <v>43</v>
      </c>
      <c r="M567" s="52"/>
    </row>
    <row r="568" s="8" customFormat="1" spans="1:14">
      <c r="A568" s="92" t="s">
        <v>456</v>
      </c>
      <c r="B568" s="93">
        <v>46222</v>
      </c>
      <c r="C568" s="94" t="s">
        <v>75</v>
      </c>
      <c r="D568" s="16" t="s">
        <v>15</v>
      </c>
      <c r="E568" s="10">
        <v>12</v>
      </c>
      <c r="F568" s="10">
        <v>100</v>
      </c>
      <c r="G568" s="69">
        <f t="shared" si="32"/>
        <v>1200</v>
      </c>
      <c r="H568" s="69" t="s">
        <v>16</v>
      </c>
      <c r="I568" s="52">
        <v>11.6</v>
      </c>
      <c r="J568" s="52">
        <f t="shared" si="31"/>
        <v>13920</v>
      </c>
      <c r="K568" s="52"/>
      <c r="L568" s="7" t="s">
        <v>43</v>
      </c>
      <c r="M568" s="52"/>
    </row>
    <row r="569" s="8" customFormat="1" spans="1:14">
      <c r="A569" s="92" t="s">
        <v>457</v>
      </c>
      <c r="B569" s="93">
        <v>46222</v>
      </c>
      <c r="C569" s="94" t="s">
        <v>458</v>
      </c>
      <c r="D569" s="7" t="s">
        <v>33</v>
      </c>
      <c r="E569" s="10">
        <v>12</v>
      </c>
      <c r="F569" s="10">
        <v>10</v>
      </c>
      <c r="G569" s="69">
        <f t="shared" si="32"/>
        <v>120</v>
      </c>
      <c r="H569" s="69" t="s">
        <v>16</v>
      </c>
      <c r="I569" s="52">
        <v>14.6</v>
      </c>
      <c r="J569" s="52">
        <f t="shared" si="31"/>
        <v>1752</v>
      </c>
      <c r="K569" s="52"/>
      <c r="L569" s="7" t="s">
        <v>43</v>
      </c>
      <c r="M569" s="52"/>
    </row>
    <row r="570" s="8" customFormat="1" spans="1:14">
      <c r="A570" s="92" t="s">
        <v>457</v>
      </c>
      <c r="B570" s="93">
        <v>46222</v>
      </c>
      <c r="C570" s="94" t="s">
        <v>458</v>
      </c>
      <c r="D570" s="16" t="s">
        <v>15</v>
      </c>
      <c r="E570" s="10">
        <v>12</v>
      </c>
      <c r="F570" s="10">
        <v>10</v>
      </c>
      <c r="G570" s="69">
        <f t="shared" si="32"/>
        <v>120</v>
      </c>
      <c r="H570" s="69" t="s">
        <v>16</v>
      </c>
      <c r="I570" s="52">
        <v>11.6</v>
      </c>
      <c r="J570" s="52">
        <f t="shared" si="31"/>
        <v>1392</v>
      </c>
      <c r="K570" s="52"/>
      <c r="L570" s="7" t="s">
        <v>43</v>
      </c>
      <c r="M570" s="52"/>
    </row>
    <row r="571" s="8" customFormat="1" spans="1:14">
      <c r="A571" s="92" t="s">
        <v>457</v>
      </c>
      <c r="B571" s="93">
        <v>46222</v>
      </c>
      <c r="C571" s="94" t="s">
        <v>458</v>
      </c>
      <c r="D571" s="7" t="s">
        <v>34</v>
      </c>
      <c r="E571" s="10">
        <v>12</v>
      </c>
      <c r="F571" s="10">
        <v>5</v>
      </c>
      <c r="G571" s="69">
        <f t="shared" si="32"/>
        <v>60</v>
      </c>
      <c r="H571" s="69" t="s">
        <v>16</v>
      </c>
      <c r="I571" s="52">
        <v>9.6</v>
      </c>
      <c r="J571" s="52">
        <f t="shared" si="31"/>
        <v>576</v>
      </c>
      <c r="K571" s="52"/>
      <c r="L571" s="7" t="s">
        <v>43</v>
      </c>
      <c r="M571" s="52"/>
    </row>
    <row r="572" s="8" customFormat="1" ht="222.05" spans="1:14">
      <c r="A572" s="99" t="s">
        <v>459</v>
      </c>
      <c r="B572" s="100">
        <v>46224</v>
      </c>
      <c r="C572" s="101" t="s">
        <v>460</v>
      </c>
      <c r="D572" s="7" t="s">
        <v>40</v>
      </c>
      <c r="E572" s="99">
        <v>12</v>
      </c>
      <c r="F572" s="99">
        <v>10</v>
      </c>
      <c r="G572" s="69">
        <f t="shared" si="32"/>
        <v>120</v>
      </c>
      <c r="H572" s="102" t="s">
        <v>16</v>
      </c>
      <c r="I572" s="52">
        <v>17.5</v>
      </c>
      <c r="J572" s="52">
        <f t="shared" si="31"/>
        <v>2100</v>
      </c>
      <c r="K572" s="103"/>
      <c r="L572" s="7" t="s">
        <v>43</v>
      </c>
      <c r="M572" s="103"/>
      <c r="N572" s="8" t="str">
        <f>_xlfn.DISPIMG("ID_D095EAFF026B48E19078F49E8C0131CD",1)</f>
        <v>=DISPIMG("ID_D095EAFF026B48E19078F49E8C0131CD",1)</v>
      </c>
    </row>
    <row r="573" s="8" customFormat="1" spans="1:14">
      <c r="A573" s="92" t="s">
        <v>461</v>
      </c>
      <c r="B573" s="93">
        <v>46226</v>
      </c>
      <c r="C573" s="94" t="s">
        <v>462</v>
      </c>
      <c r="D573" s="7" t="s">
        <v>33</v>
      </c>
      <c r="E573" s="10">
        <v>12</v>
      </c>
      <c r="F573" s="10">
        <v>100</v>
      </c>
      <c r="G573" s="69">
        <f t="shared" si="32"/>
        <v>1200</v>
      </c>
      <c r="H573" s="69" t="s">
        <v>16</v>
      </c>
      <c r="I573" s="52">
        <v>14.6</v>
      </c>
      <c r="J573" s="52">
        <f t="shared" si="31"/>
        <v>17520</v>
      </c>
      <c r="K573" s="52"/>
      <c r="L573" s="7" t="s">
        <v>43</v>
      </c>
      <c r="M573" s="52"/>
    </row>
    <row r="574" s="8" customFormat="1" spans="1:14">
      <c r="A574" s="92" t="s">
        <v>463</v>
      </c>
      <c r="B574" s="93">
        <v>46226</v>
      </c>
      <c r="C574" s="94" t="s">
        <v>340</v>
      </c>
      <c r="D574" s="7" t="s">
        <v>40</v>
      </c>
      <c r="E574" s="10">
        <v>12</v>
      </c>
      <c r="F574" s="10">
        <v>10</v>
      </c>
      <c r="G574" s="69">
        <f t="shared" si="32"/>
        <v>120</v>
      </c>
      <c r="H574" s="69" t="s">
        <v>16</v>
      </c>
      <c r="I574" s="52">
        <v>17.5</v>
      </c>
      <c r="J574" s="52">
        <f t="shared" si="31"/>
        <v>2100</v>
      </c>
      <c r="K574" s="52"/>
      <c r="L574" s="7" t="s">
        <v>43</v>
      </c>
      <c r="M574" s="52"/>
    </row>
    <row r="575" s="8" customFormat="1" spans="1:14">
      <c r="A575" s="92" t="s">
        <v>463</v>
      </c>
      <c r="B575" s="93">
        <v>46226</v>
      </c>
      <c r="C575" s="94" t="s">
        <v>340</v>
      </c>
      <c r="D575" s="16" t="s">
        <v>15</v>
      </c>
      <c r="E575" s="10">
        <v>12</v>
      </c>
      <c r="F575" s="10">
        <v>11</v>
      </c>
      <c r="G575" s="69">
        <f t="shared" si="32"/>
        <v>132</v>
      </c>
      <c r="H575" s="69" t="s">
        <v>16</v>
      </c>
      <c r="I575" s="52">
        <v>11.6</v>
      </c>
      <c r="J575" s="52">
        <f t="shared" si="31"/>
        <v>1531.2</v>
      </c>
      <c r="K575" s="52"/>
      <c r="L575" s="7" t="s">
        <v>43</v>
      </c>
      <c r="M575" s="52"/>
    </row>
    <row r="576" s="8" customFormat="1" spans="1:14">
      <c r="A576" s="92" t="s">
        <v>463</v>
      </c>
      <c r="B576" s="93">
        <v>46226</v>
      </c>
      <c r="C576" s="94" t="s">
        <v>340</v>
      </c>
      <c r="D576" s="26" t="s">
        <v>15</v>
      </c>
      <c r="E576" s="10">
        <v>12</v>
      </c>
      <c r="F576" s="10">
        <v>4</v>
      </c>
      <c r="G576" s="69">
        <f t="shared" si="32"/>
        <v>48</v>
      </c>
      <c r="H576" s="69" t="s">
        <v>16</v>
      </c>
      <c r="I576" s="52">
        <v>11.6</v>
      </c>
      <c r="J576" s="52">
        <f t="shared" si="31"/>
        <v>556.8</v>
      </c>
      <c r="K576" s="52"/>
      <c r="L576" s="7" t="s">
        <v>43</v>
      </c>
      <c r="M576" s="52"/>
      <c r="N576" s="7" t="s">
        <v>106</v>
      </c>
    </row>
    <row r="577" s="8" customFormat="1" spans="1:13">
      <c r="A577" s="92" t="s">
        <v>463</v>
      </c>
      <c r="B577" s="93">
        <v>46226</v>
      </c>
      <c r="C577" s="94" t="s">
        <v>340</v>
      </c>
      <c r="D577" s="7" t="s">
        <v>33</v>
      </c>
      <c r="E577" s="10">
        <v>12</v>
      </c>
      <c r="F577" s="10">
        <v>3</v>
      </c>
      <c r="G577" s="69">
        <f t="shared" si="32"/>
        <v>36</v>
      </c>
      <c r="H577" s="69" t="s">
        <v>16</v>
      </c>
      <c r="I577" s="52">
        <v>14.6</v>
      </c>
      <c r="J577" s="52">
        <f t="shared" si="31"/>
        <v>525.6</v>
      </c>
      <c r="K577" s="52"/>
      <c r="L577" s="7" t="s">
        <v>43</v>
      </c>
      <c r="M577" s="52"/>
    </row>
    <row r="578" s="8" customFormat="1" spans="1:13">
      <c r="A578" s="92" t="s">
        <v>464</v>
      </c>
      <c r="B578" s="93">
        <v>46226</v>
      </c>
      <c r="C578" s="94" t="s">
        <v>465</v>
      </c>
      <c r="D578" s="16" t="s">
        <v>15</v>
      </c>
      <c r="E578" s="10">
        <v>12</v>
      </c>
      <c r="F578" s="10">
        <v>30</v>
      </c>
      <c r="G578" s="69">
        <f t="shared" si="32"/>
        <v>360</v>
      </c>
      <c r="H578" s="69" t="s">
        <v>16</v>
      </c>
      <c r="I578" s="52">
        <v>11.6</v>
      </c>
      <c r="J578" s="52">
        <f t="shared" si="31"/>
        <v>4176</v>
      </c>
      <c r="K578" s="52"/>
      <c r="L578" s="7" t="s">
        <v>43</v>
      </c>
      <c r="M578" s="52"/>
    </row>
    <row r="579" s="8" customFormat="1" spans="1:13">
      <c r="A579" s="92" t="s">
        <v>464</v>
      </c>
      <c r="B579" s="93">
        <v>46226</v>
      </c>
      <c r="C579" s="94" t="s">
        <v>465</v>
      </c>
      <c r="D579" s="29" t="s">
        <v>32</v>
      </c>
      <c r="E579" s="10">
        <v>12</v>
      </c>
      <c r="F579" s="10">
        <v>15</v>
      </c>
      <c r="G579" s="69">
        <f t="shared" si="32"/>
        <v>180</v>
      </c>
      <c r="H579" s="69" t="s">
        <v>16</v>
      </c>
      <c r="I579" s="52">
        <v>14.6</v>
      </c>
      <c r="J579" s="52">
        <f t="shared" si="31"/>
        <v>2628</v>
      </c>
      <c r="K579" s="52"/>
      <c r="L579" s="7" t="s">
        <v>43</v>
      </c>
      <c r="M579" s="52"/>
    </row>
    <row r="580" s="8" customFormat="1" spans="1:13">
      <c r="A580" s="92" t="s">
        <v>464</v>
      </c>
      <c r="B580" s="93">
        <v>46226</v>
      </c>
      <c r="C580" s="94" t="s">
        <v>465</v>
      </c>
      <c r="D580" s="7" t="s">
        <v>50</v>
      </c>
      <c r="E580" s="10">
        <v>12</v>
      </c>
      <c r="F580" s="10">
        <v>30</v>
      </c>
      <c r="G580" s="69">
        <f t="shared" si="32"/>
        <v>360</v>
      </c>
      <c r="H580" s="69" t="s">
        <v>16</v>
      </c>
      <c r="I580" s="52">
        <v>17.1</v>
      </c>
      <c r="J580" s="52">
        <f t="shared" si="31"/>
        <v>6156</v>
      </c>
      <c r="K580" s="52"/>
      <c r="L580" s="7" t="s">
        <v>43</v>
      </c>
      <c r="M580" s="52"/>
    </row>
    <row r="581" s="8" customFormat="1" spans="1:13">
      <c r="A581" s="92" t="s">
        <v>464</v>
      </c>
      <c r="B581" s="93">
        <v>46226</v>
      </c>
      <c r="C581" s="94" t="s">
        <v>465</v>
      </c>
      <c r="D581" s="29" t="s">
        <v>95</v>
      </c>
      <c r="E581" s="10">
        <v>12</v>
      </c>
      <c r="F581" s="10">
        <v>25</v>
      </c>
      <c r="G581" s="69">
        <f t="shared" si="32"/>
        <v>300</v>
      </c>
      <c r="H581" s="69" t="s">
        <v>16</v>
      </c>
      <c r="I581" s="52">
        <v>17.5</v>
      </c>
      <c r="J581" s="52">
        <f t="shared" si="31"/>
        <v>5250</v>
      </c>
      <c r="K581" s="52"/>
      <c r="L581" s="7" t="s">
        <v>43</v>
      </c>
      <c r="M581" s="52"/>
    </row>
    <row r="582" s="8" customFormat="1" hidden="1" spans="1:13">
      <c r="A582" s="92" t="s">
        <v>24</v>
      </c>
      <c r="B582" s="93">
        <v>46227</v>
      </c>
      <c r="C582" s="94" t="s">
        <v>25</v>
      </c>
      <c r="D582" s="7" t="s">
        <v>34</v>
      </c>
      <c r="E582" s="92">
        <v>12</v>
      </c>
      <c r="F582" s="92">
        <v>40</v>
      </c>
      <c r="G582" s="69">
        <f t="shared" si="32"/>
        <v>480</v>
      </c>
      <c r="H582" s="69" t="s">
        <v>16</v>
      </c>
      <c r="I582" s="52">
        <v>11.34</v>
      </c>
      <c r="J582" s="52">
        <f t="shared" si="31"/>
        <v>5443.2</v>
      </c>
      <c r="K582" s="52"/>
      <c r="L582" s="52" t="s">
        <v>17</v>
      </c>
      <c r="M582" s="52"/>
    </row>
    <row r="583" s="8" customFormat="1" hidden="1" spans="1:13">
      <c r="A583" s="92" t="s">
        <v>24</v>
      </c>
      <c r="B583" s="93">
        <v>46227</v>
      </c>
      <c r="C583" s="94" t="s">
        <v>25</v>
      </c>
      <c r="D583" s="16" t="s">
        <v>15</v>
      </c>
      <c r="E583" s="92">
        <v>12</v>
      </c>
      <c r="F583" s="92">
        <v>370</v>
      </c>
      <c r="G583" s="69">
        <f t="shared" si="32"/>
        <v>4440</v>
      </c>
      <c r="H583" s="69" t="s">
        <v>16</v>
      </c>
      <c r="I583" s="52">
        <v>13.5</v>
      </c>
      <c r="J583" s="52">
        <f t="shared" si="31"/>
        <v>59940</v>
      </c>
      <c r="K583" s="52"/>
      <c r="L583" s="52" t="s">
        <v>17</v>
      </c>
      <c r="M583" s="52"/>
    </row>
    <row r="584" s="8" customFormat="1" hidden="1" spans="1:13">
      <c r="A584" s="92" t="s">
        <v>24</v>
      </c>
      <c r="B584" s="93">
        <v>46227</v>
      </c>
      <c r="C584" s="94" t="s">
        <v>25</v>
      </c>
      <c r="D584" s="29" t="s">
        <v>32</v>
      </c>
      <c r="E584" s="92">
        <v>12</v>
      </c>
      <c r="F584" s="92">
        <v>334</v>
      </c>
      <c r="G584" s="69">
        <f t="shared" si="32"/>
        <v>4008</v>
      </c>
      <c r="H584" s="69" t="s">
        <v>16</v>
      </c>
      <c r="I584" s="52">
        <v>17.064</v>
      </c>
      <c r="J584" s="52">
        <f t="shared" si="31"/>
        <v>68392.512</v>
      </c>
      <c r="K584" s="52"/>
      <c r="L584" s="52" t="s">
        <v>17</v>
      </c>
      <c r="M584" s="52"/>
    </row>
    <row r="585" s="8" customFormat="1" hidden="1" spans="1:13">
      <c r="A585" s="92" t="s">
        <v>24</v>
      </c>
      <c r="B585" s="93">
        <v>46227</v>
      </c>
      <c r="C585" s="94" t="s">
        <v>25</v>
      </c>
      <c r="D585" s="16" t="s">
        <v>35</v>
      </c>
      <c r="E585" s="92">
        <v>12</v>
      </c>
      <c r="F585" s="92">
        <v>84</v>
      </c>
      <c r="G585" s="69">
        <f t="shared" si="32"/>
        <v>1008</v>
      </c>
      <c r="H585" s="69" t="s">
        <v>16</v>
      </c>
      <c r="I585" s="52">
        <v>19.98</v>
      </c>
      <c r="J585" s="52">
        <f t="shared" si="31"/>
        <v>20139.84</v>
      </c>
      <c r="K585" s="52"/>
      <c r="L585" s="52" t="s">
        <v>17</v>
      </c>
      <c r="M585" s="52"/>
    </row>
    <row r="586" s="8" customFormat="1" hidden="1" spans="1:13">
      <c r="A586" s="92" t="s">
        <v>24</v>
      </c>
      <c r="B586" s="93">
        <v>46227</v>
      </c>
      <c r="C586" s="94" t="s">
        <v>25</v>
      </c>
      <c r="D586" s="92" t="s">
        <v>36</v>
      </c>
      <c r="E586" s="92">
        <v>12</v>
      </c>
      <c r="F586" s="92">
        <v>10</v>
      </c>
      <c r="G586" s="69">
        <f t="shared" si="32"/>
        <v>120</v>
      </c>
      <c r="H586" s="69" t="s">
        <v>16</v>
      </c>
      <c r="I586" s="52">
        <v>14.04</v>
      </c>
      <c r="J586" s="52">
        <f t="shared" si="31"/>
        <v>1684.8</v>
      </c>
      <c r="K586" s="52"/>
      <c r="L586" s="52" t="s">
        <v>17</v>
      </c>
      <c r="M586" s="52"/>
    </row>
    <row r="587" s="8" customFormat="1" hidden="1" spans="1:13">
      <c r="A587" s="92" t="s">
        <v>24</v>
      </c>
      <c r="B587" s="93">
        <v>46227</v>
      </c>
      <c r="C587" s="94" t="s">
        <v>25</v>
      </c>
      <c r="D587" s="92" t="s">
        <v>37</v>
      </c>
      <c r="E587" s="92">
        <v>12</v>
      </c>
      <c r="F587" s="92">
        <v>10</v>
      </c>
      <c r="G587" s="69">
        <f t="shared" si="32"/>
        <v>120</v>
      </c>
      <c r="H587" s="69" t="s">
        <v>16</v>
      </c>
      <c r="I587" s="52">
        <v>17.28</v>
      </c>
      <c r="J587" s="52">
        <f t="shared" si="31"/>
        <v>2073.6</v>
      </c>
      <c r="K587" s="52"/>
      <c r="L587" s="52" t="s">
        <v>17</v>
      </c>
      <c r="M587" s="52"/>
    </row>
    <row r="588" s="8" customFormat="1" hidden="1" spans="1:13">
      <c r="A588" s="92" t="s">
        <v>24</v>
      </c>
      <c r="B588" s="93">
        <v>46227</v>
      </c>
      <c r="C588" s="94" t="s">
        <v>25</v>
      </c>
      <c r="D588" s="92" t="s">
        <v>38</v>
      </c>
      <c r="E588" s="92">
        <v>12</v>
      </c>
      <c r="F588" s="92">
        <v>20</v>
      </c>
      <c r="G588" s="69">
        <f t="shared" si="32"/>
        <v>240</v>
      </c>
      <c r="H588" s="69" t="s">
        <v>16</v>
      </c>
      <c r="I588" s="52">
        <v>20.844</v>
      </c>
      <c r="J588" s="52">
        <f t="shared" si="31"/>
        <v>5002.56</v>
      </c>
      <c r="K588" s="52"/>
      <c r="L588" s="52" t="s">
        <v>17</v>
      </c>
      <c r="M588" s="52"/>
    </row>
    <row r="589" s="8" customFormat="1" spans="1:13">
      <c r="A589" s="92" t="s">
        <v>410</v>
      </c>
      <c r="B589" s="93">
        <v>46228</v>
      </c>
      <c r="C589" s="94" t="s">
        <v>411</v>
      </c>
      <c r="D589" s="7" t="s">
        <v>33</v>
      </c>
      <c r="E589" s="10">
        <v>12</v>
      </c>
      <c r="F589" s="10">
        <v>80</v>
      </c>
      <c r="G589" s="69">
        <f t="shared" si="32"/>
        <v>960</v>
      </c>
      <c r="H589" s="69" t="s">
        <v>16</v>
      </c>
      <c r="I589" s="52">
        <v>14.6</v>
      </c>
      <c r="J589" s="52">
        <f t="shared" si="31"/>
        <v>14016</v>
      </c>
      <c r="K589" s="52"/>
      <c r="L589" s="7" t="s">
        <v>43</v>
      </c>
      <c r="M589" s="52"/>
    </row>
    <row r="590" s="8" customFormat="1" spans="1:13">
      <c r="A590" s="92" t="s">
        <v>466</v>
      </c>
      <c r="B590" s="93">
        <v>46228</v>
      </c>
      <c r="C590" s="94" t="s">
        <v>52</v>
      </c>
      <c r="D590" s="16" t="s">
        <v>15</v>
      </c>
      <c r="E590" s="10">
        <v>12</v>
      </c>
      <c r="F590" s="10">
        <v>20</v>
      </c>
      <c r="G590" s="69">
        <f t="shared" si="32"/>
        <v>240</v>
      </c>
      <c r="H590" s="69" t="s">
        <v>16</v>
      </c>
      <c r="I590" s="52">
        <v>12.5</v>
      </c>
      <c r="J590" s="52">
        <f t="shared" si="31"/>
        <v>3000</v>
      </c>
      <c r="K590" s="52"/>
      <c r="L590" s="7" t="s">
        <v>43</v>
      </c>
      <c r="M590" s="52"/>
    </row>
    <row r="591" s="8" customFormat="1" spans="1:13">
      <c r="A591" s="92" t="s">
        <v>467</v>
      </c>
      <c r="B591" s="93">
        <v>46228</v>
      </c>
      <c r="C591" s="94" t="s">
        <v>52</v>
      </c>
      <c r="D591" s="16" t="s">
        <v>15</v>
      </c>
      <c r="E591" s="10">
        <v>12</v>
      </c>
      <c r="F591" s="10">
        <v>15</v>
      </c>
      <c r="G591" s="69">
        <f t="shared" si="32"/>
        <v>180</v>
      </c>
      <c r="H591" s="69" t="s">
        <v>16</v>
      </c>
      <c r="I591" s="52">
        <v>12.5</v>
      </c>
      <c r="J591" s="52">
        <f t="shared" si="31"/>
        <v>2250</v>
      </c>
      <c r="K591" s="52"/>
      <c r="L591" s="7" t="s">
        <v>43</v>
      </c>
      <c r="M591" s="52"/>
    </row>
    <row r="592" s="8" customFormat="1" spans="1:13">
      <c r="A592" s="92" t="s">
        <v>468</v>
      </c>
      <c r="B592" s="93">
        <v>46229</v>
      </c>
      <c r="C592" s="94" t="s">
        <v>469</v>
      </c>
      <c r="D592" s="16" t="s">
        <v>15</v>
      </c>
      <c r="E592" s="10">
        <v>12</v>
      </c>
      <c r="F592" s="10">
        <v>30</v>
      </c>
      <c r="G592" s="69">
        <f t="shared" si="32"/>
        <v>360</v>
      </c>
      <c r="H592" s="69" t="s">
        <v>16</v>
      </c>
      <c r="I592" s="52">
        <v>11.6</v>
      </c>
      <c r="J592" s="52">
        <f t="shared" si="31"/>
        <v>4176</v>
      </c>
      <c r="K592" s="52"/>
      <c r="L592" s="7" t="s">
        <v>43</v>
      </c>
      <c r="M592" s="52"/>
    </row>
    <row r="593" s="8" customFormat="1" spans="1:13">
      <c r="A593" s="92" t="s">
        <v>468</v>
      </c>
      <c r="B593" s="93">
        <v>46229</v>
      </c>
      <c r="C593" s="94" t="s">
        <v>469</v>
      </c>
      <c r="D593" s="7" t="s">
        <v>33</v>
      </c>
      <c r="E593" s="10">
        <v>12</v>
      </c>
      <c r="F593" s="10">
        <v>3</v>
      </c>
      <c r="G593" s="69">
        <f t="shared" si="32"/>
        <v>36</v>
      </c>
      <c r="H593" s="69" t="s">
        <v>16</v>
      </c>
      <c r="I593" s="52">
        <v>14.6</v>
      </c>
      <c r="J593" s="52">
        <f t="shared" si="31"/>
        <v>525.6</v>
      </c>
      <c r="K593" s="52"/>
      <c r="L593" s="7" t="s">
        <v>43</v>
      </c>
      <c r="M593" s="52"/>
    </row>
    <row r="594" s="8" customFormat="1" spans="1:13">
      <c r="A594" s="92" t="s">
        <v>470</v>
      </c>
      <c r="B594" s="93">
        <v>46229</v>
      </c>
      <c r="C594" s="94" t="s">
        <v>471</v>
      </c>
      <c r="D594" s="7" t="s">
        <v>33</v>
      </c>
      <c r="E594" s="10">
        <v>12</v>
      </c>
      <c r="F594" s="10">
        <v>100</v>
      </c>
      <c r="G594" s="69">
        <f t="shared" si="32"/>
        <v>1200</v>
      </c>
      <c r="H594" s="69" t="s">
        <v>16</v>
      </c>
      <c r="I594" s="52">
        <v>14.6</v>
      </c>
      <c r="J594" s="52">
        <f t="shared" si="31"/>
        <v>17520</v>
      </c>
      <c r="K594" s="52"/>
      <c r="L594" s="7" t="s">
        <v>43</v>
      </c>
      <c r="M594" s="52"/>
    </row>
    <row r="595" s="8" customFormat="1" spans="1:13">
      <c r="A595" s="92" t="s">
        <v>472</v>
      </c>
      <c r="B595" s="93">
        <v>46229</v>
      </c>
      <c r="C595" s="94" t="s">
        <v>75</v>
      </c>
      <c r="D595" s="16" t="s">
        <v>15</v>
      </c>
      <c r="E595" s="10">
        <v>12</v>
      </c>
      <c r="F595" s="10">
        <v>50</v>
      </c>
      <c r="G595" s="69">
        <f t="shared" si="32"/>
        <v>600</v>
      </c>
      <c r="H595" s="69" t="s">
        <v>16</v>
      </c>
      <c r="I595" s="52">
        <v>11.6</v>
      </c>
      <c r="J595" s="52">
        <f t="shared" si="31"/>
        <v>6960</v>
      </c>
      <c r="K595" s="52"/>
      <c r="L595" s="7" t="s">
        <v>43</v>
      </c>
      <c r="M595" s="52"/>
    </row>
    <row r="596" s="8" customFormat="1" spans="1:13">
      <c r="A596" s="92" t="s">
        <v>472</v>
      </c>
      <c r="B596" s="93">
        <v>46229</v>
      </c>
      <c r="C596" s="94" t="s">
        <v>75</v>
      </c>
      <c r="D596" s="7" t="s">
        <v>33</v>
      </c>
      <c r="E596" s="10">
        <v>12</v>
      </c>
      <c r="F596" s="10">
        <v>75</v>
      </c>
      <c r="G596" s="69">
        <f t="shared" si="32"/>
        <v>900</v>
      </c>
      <c r="H596" s="69" t="s">
        <v>16</v>
      </c>
      <c r="I596" s="52">
        <v>14.6</v>
      </c>
      <c r="J596" s="52">
        <f t="shared" si="31"/>
        <v>13140</v>
      </c>
      <c r="K596" s="52"/>
      <c r="L596" s="7" t="s">
        <v>43</v>
      </c>
      <c r="M596" s="52"/>
    </row>
    <row r="597" s="8" customFormat="1" spans="1:13">
      <c r="A597" s="92" t="s">
        <v>473</v>
      </c>
      <c r="B597" s="93">
        <v>46230</v>
      </c>
      <c r="C597" s="94" t="s">
        <v>75</v>
      </c>
      <c r="D597" s="16" t="s">
        <v>15</v>
      </c>
      <c r="E597" s="10">
        <v>12</v>
      </c>
      <c r="F597" s="10">
        <v>100</v>
      </c>
      <c r="G597" s="69">
        <f t="shared" si="32"/>
        <v>1200</v>
      </c>
      <c r="H597" s="69" t="s">
        <v>16</v>
      </c>
      <c r="I597" s="52">
        <v>11.6</v>
      </c>
      <c r="J597" s="52">
        <f t="shared" si="31"/>
        <v>13920</v>
      </c>
      <c r="K597" s="52"/>
      <c r="L597" s="7" t="s">
        <v>43</v>
      </c>
      <c r="M597" s="52"/>
    </row>
    <row r="598" s="8" customFormat="1" spans="1:13">
      <c r="A598" s="92" t="s">
        <v>473</v>
      </c>
      <c r="B598" s="93">
        <v>46230</v>
      </c>
      <c r="C598" s="94" t="s">
        <v>75</v>
      </c>
      <c r="D598" s="7" t="s">
        <v>33</v>
      </c>
      <c r="E598" s="10">
        <v>12</v>
      </c>
      <c r="F598" s="10">
        <v>25</v>
      </c>
      <c r="G598" s="69">
        <f t="shared" si="32"/>
        <v>300</v>
      </c>
      <c r="H598" s="69" t="s">
        <v>16</v>
      </c>
      <c r="I598" s="52">
        <v>14.6</v>
      </c>
      <c r="J598" s="52">
        <f t="shared" si="31"/>
        <v>4380</v>
      </c>
      <c r="K598" s="52"/>
      <c r="L598" s="7" t="s">
        <v>43</v>
      </c>
      <c r="M598" s="52"/>
    </row>
    <row r="599" s="8" customFormat="1" spans="1:13">
      <c r="A599" s="92" t="s">
        <v>473</v>
      </c>
      <c r="B599" s="93">
        <v>46230</v>
      </c>
      <c r="C599" s="94" t="s">
        <v>75</v>
      </c>
      <c r="D599" s="7" t="s">
        <v>40</v>
      </c>
      <c r="E599" s="10">
        <v>12</v>
      </c>
      <c r="F599" s="10">
        <v>80</v>
      </c>
      <c r="G599" s="69">
        <f t="shared" si="32"/>
        <v>960</v>
      </c>
      <c r="H599" s="69" t="s">
        <v>16</v>
      </c>
      <c r="I599" s="52">
        <v>17.5</v>
      </c>
      <c r="J599" s="52">
        <f t="shared" si="31"/>
        <v>16800</v>
      </c>
      <c r="K599" s="52"/>
      <c r="L599" s="7" t="s">
        <v>43</v>
      </c>
      <c r="M599" s="52"/>
    </row>
    <row r="600" s="8" customFormat="1" hidden="1" spans="1:13">
      <c r="A600" s="92" t="s">
        <v>474</v>
      </c>
      <c r="B600" s="93">
        <v>46231</v>
      </c>
      <c r="C600" s="94" t="s">
        <v>183</v>
      </c>
      <c r="D600" s="29" t="s">
        <v>32</v>
      </c>
      <c r="E600" s="92">
        <v>12</v>
      </c>
      <c r="F600" s="92">
        <v>10</v>
      </c>
      <c r="G600" s="69">
        <f t="shared" si="32"/>
        <v>120</v>
      </c>
      <c r="H600" s="69" t="s">
        <v>16</v>
      </c>
      <c r="I600" s="52">
        <v>18.315</v>
      </c>
      <c r="J600" s="52">
        <f t="shared" si="31"/>
        <v>2197.8</v>
      </c>
      <c r="K600" s="52"/>
      <c r="L600" s="52" t="s">
        <v>17</v>
      </c>
      <c r="M600" s="52" t="s">
        <v>17</v>
      </c>
    </row>
    <row r="601" s="8" customFormat="1" spans="1:13">
      <c r="A601" s="92" t="s">
        <v>475</v>
      </c>
      <c r="B601" s="93">
        <v>46233</v>
      </c>
      <c r="C601" s="94" t="s">
        <v>476</v>
      </c>
      <c r="D601" s="7" t="s">
        <v>34</v>
      </c>
      <c r="E601" s="10">
        <v>12</v>
      </c>
      <c r="F601" s="10">
        <v>3</v>
      </c>
      <c r="G601" s="69">
        <f t="shared" si="32"/>
        <v>36</v>
      </c>
      <c r="H601" s="69" t="s">
        <v>16</v>
      </c>
      <c r="I601" s="52">
        <v>9.6</v>
      </c>
      <c r="J601" s="52">
        <f t="shared" si="31"/>
        <v>345.6</v>
      </c>
      <c r="K601" s="52"/>
      <c r="L601" s="7" t="s">
        <v>43</v>
      </c>
      <c r="M601" s="52"/>
    </row>
    <row r="602" s="8" customFormat="1" spans="1:13">
      <c r="A602" s="92" t="s">
        <v>475</v>
      </c>
      <c r="B602" s="93">
        <v>46233</v>
      </c>
      <c r="C602" s="94" t="s">
        <v>476</v>
      </c>
      <c r="D602" s="7" t="s">
        <v>33</v>
      </c>
      <c r="E602" s="10">
        <v>12</v>
      </c>
      <c r="F602" s="10">
        <v>3</v>
      </c>
      <c r="G602" s="69">
        <f t="shared" si="32"/>
        <v>36</v>
      </c>
      <c r="H602" s="69" t="s">
        <v>16</v>
      </c>
      <c r="I602" s="52">
        <v>14.6</v>
      </c>
      <c r="J602" s="52">
        <f t="shared" si="31"/>
        <v>525.6</v>
      </c>
      <c r="K602" s="52"/>
      <c r="L602" s="7" t="s">
        <v>43</v>
      </c>
      <c r="M602" s="52"/>
    </row>
    <row r="603" s="8" customFormat="1" spans="1:13">
      <c r="A603" s="92" t="s">
        <v>477</v>
      </c>
      <c r="B603" s="93">
        <v>46233</v>
      </c>
      <c r="C603" s="94" t="s">
        <v>478</v>
      </c>
      <c r="D603" s="7" t="s">
        <v>33</v>
      </c>
      <c r="E603" s="10">
        <v>12</v>
      </c>
      <c r="F603" s="10">
        <v>20</v>
      </c>
      <c r="G603" s="69">
        <f t="shared" si="32"/>
        <v>240</v>
      </c>
      <c r="H603" s="69" t="s">
        <v>16</v>
      </c>
      <c r="I603" s="52">
        <v>14.6</v>
      </c>
      <c r="J603" s="52">
        <f t="shared" si="31"/>
        <v>3504</v>
      </c>
      <c r="K603" s="52"/>
      <c r="L603" s="7" t="s">
        <v>43</v>
      </c>
      <c r="M603" s="52"/>
    </row>
    <row r="604" s="8" customFormat="1" spans="1:13">
      <c r="A604" s="92" t="s">
        <v>477</v>
      </c>
      <c r="B604" s="93">
        <v>46233</v>
      </c>
      <c r="C604" s="94" t="s">
        <v>478</v>
      </c>
      <c r="D604" s="7" t="s">
        <v>40</v>
      </c>
      <c r="E604" s="10">
        <v>12</v>
      </c>
      <c r="F604" s="10">
        <v>30</v>
      </c>
      <c r="G604" s="69">
        <f t="shared" si="32"/>
        <v>360</v>
      </c>
      <c r="H604" s="69" t="s">
        <v>16</v>
      </c>
      <c r="I604" s="52">
        <v>17.5</v>
      </c>
      <c r="J604" s="52">
        <f t="shared" si="31"/>
        <v>6300</v>
      </c>
      <c r="K604" s="52"/>
      <c r="L604" s="7" t="s">
        <v>43</v>
      </c>
      <c r="M604" s="52"/>
    </row>
    <row r="605" s="8" customFormat="1" spans="1:13">
      <c r="A605" s="92" t="s">
        <v>479</v>
      </c>
      <c r="B605" s="93">
        <v>46233</v>
      </c>
      <c r="C605" s="94" t="s">
        <v>480</v>
      </c>
      <c r="D605" s="16" t="s">
        <v>15</v>
      </c>
      <c r="E605" s="10">
        <v>12</v>
      </c>
      <c r="F605" s="10">
        <v>50</v>
      </c>
      <c r="G605" s="69">
        <f t="shared" si="32"/>
        <v>600</v>
      </c>
      <c r="H605" s="69" t="s">
        <v>16</v>
      </c>
      <c r="I605" s="52">
        <v>11.6</v>
      </c>
      <c r="J605" s="52">
        <f t="shared" si="31"/>
        <v>6960</v>
      </c>
      <c r="K605" s="52"/>
      <c r="L605" s="7" t="s">
        <v>43</v>
      </c>
      <c r="M605" s="52"/>
    </row>
    <row r="606" s="8" customFormat="1" hidden="1" spans="1:13">
      <c r="A606" s="92" t="s">
        <v>481</v>
      </c>
      <c r="B606" s="93">
        <v>46233</v>
      </c>
      <c r="C606" s="94" t="s">
        <v>374</v>
      </c>
      <c r="D606" s="7" t="s">
        <v>33</v>
      </c>
      <c r="E606" s="92">
        <v>8</v>
      </c>
      <c r="F606" s="92">
        <v>30</v>
      </c>
      <c r="G606" s="69">
        <f t="shared" si="32"/>
        <v>240</v>
      </c>
      <c r="H606" s="69" t="s">
        <v>16</v>
      </c>
      <c r="I606" s="52">
        <v>17.82</v>
      </c>
      <c r="J606" s="52">
        <f t="shared" si="31"/>
        <v>4276.8</v>
      </c>
      <c r="K606" s="52"/>
      <c r="L606" s="52" t="s">
        <v>17</v>
      </c>
      <c r="M606" s="52" t="s">
        <v>17</v>
      </c>
    </row>
    <row r="607" s="8" customFormat="1" spans="1:13">
      <c r="A607" s="92" t="s">
        <v>482</v>
      </c>
      <c r="B607" s="93">
        <v>46233</v>
      </c>
      <c r="C607" s="94" t="s">
        <v>75</v>
      </c>
      <c r="D607" s="16" t="s">
        <v>15</v>
      </c>
      <c r="E607" s="10">
        <v>12</v>
      </c>
      <c r="F607" s="10">
        <v>20</v>
      </c>
      <c r="G607" s="69">
        <f t="shared" si="32"/>
        <v>240</v>
      </c>
      <c r="H607" s="69" t="s">
        <v>16</v>
      </c>
      <c r="I607" s="52">
        <v>11.6</v>
      </c>
      <c r="J607" s="52">
        <f t="shared" si="31"/>
        <v>2784</v>
      </c>
      <c r="K607" s="52"/>
      <c r="L607" s="7" t="s">
        <v>43</v>
      </c>
      <c r="M607" s="52"/>
    </row>
    <row r="608" s="8" customFormat="1" spans="1:13">
      <c r="A608" s="92" t="s">
        <v>483</v>
      </c>
      <c r="B608" s="93">
        <v>46234</v>
      </c>
      <c r="C608" s="94" t="s">
        <v>94</v>
      </c>
      <c r="D608" s="7" t="s">
        <v>34</v>
      </c>
      <c r="E608" s="10">
        <v>12</v>
      </c>
      <c r="F608" s="10">
        <v>25</v>
      </c>
      <c r="G608" s="69">
        <f t="shared" si="32"/>
        <v>300</v>
      </c>
      <c r="H608" s="69" t="s">
        <v>16</v>
      </c>
      <c r="I608" s="8">
        <v>10.2</v>
      </c>
      <c r="J608" s="52">
        <f t="shared" si="31"/>
        <v>3060</v>
      </c>
      <c r="K608" s="52"/>
      <c r="L608" s="7" t="s">
        <v>43</v>
      </c>
      <c r="M608" s="52"/>
    </row>
    <row r="609" s="8" customFormat="1" spans="1:13">
      <c r="A609" s="92" t="s">
        <v>483</v>
      </c>
      <c r="B609" s="93">
        <v>46234</v>
      </c>
      <c r="C609" s="94" t="s">
        <v>94</v>
      </c>
      <c r="D609" s="16" t="s">
        <v>15</v>
      </c>
      <c r="E609" s="10">
        <v>12</v>
      </c>
      <c r="F609" s="10">
        <v>50</v>
      </c>
      <c r="G609" s="69">
        <f t="shared" si="32"/>
        <v>600</v>
      </c>
      <c r="H609" s="69" t="s">
        <v>16</v>
      </c>
      <c r="I609" s="52">
        <v>12.2</v>
      </c>
      <c r="J609" s="52">
        <f t="shared" si="31"/>
        <v>7320</v>
      </c>
      <c r="K609" s="52"/>
      <c r="L609" s="7" t="s">
        <v>43</v>
      </c>
      <c r="M609" s="52"/>
    </row>
    <row r="610" s="8" customFormat="1" spans="1:13">
      <c r="A610" s="104" t="s">
        <v>483</v>
      </c>
      <c r="B610" s="105">
        <v>46234</v>
      </c>
      <c r="C610" s="106" t="s">
        <v>94</v>
      </c>
      <c r="D610" s="7" t="s">
        <v>33</v>
      </c>
      <c r="E610" s="83">
        <v>12</v>
      </c>
      <c r="F610" s="83">
        <v>50</v>
      </c>
      <c r="G610" s="69">
        <f t="shared" si="32"/>
        <v>600</v>
      </c>
      <c r="H610" s="84" t="s">
        <v>16</v>
      </c>
      <c r="I610" s="52">
        <v>15.2</v>
      </c>
      <c r="J610" s="52">
        <f t="shared" si="31"/>
        <v>9120</v>
      </c>
      <c r="K610" s="85"/>
      <c r="L610" s="7" t="s">
        <v>43</v>
      </c>
      <c r="M610" s="85"/>
    </row>
  </sheetData>
  <autoFilter xmlns:etc="http://www.wps.cn/officeDocument/2017/etCustomData" ref="A1:U610" etc:filterBottomFollowUsedRange="0">
    <filterColumn colId="11">
      <filters blank="1"/>
    </filterColumn>
    <extLst/>
  </autoFilter>
  <conditionalFormatting sqref="L82">
    <cfRule type="expression" dxfId="1" priority="228">
      <formula>MOD(ROW(),2)=0</formula>
    </cfRule>
  </conditionalFormatting>
  <conditionalFormatting sqref="H86">
    <cfRule type="expression" dxfId="1" priority="241">
      <formula>MOD(ROW(),2)=0</formula>
    </cfRule>
  </conditionalFormatting>
  <conditionalFormatting sqref="L86">
    <cfRule type="expression" dxfId="1" priority="240">
      <formula>MOD(ROW(),2)=0</formula>
    </cfRule>
  </conditionalFormatting>
  <conditionalFormatting sqref="M87">
    <cfRule type="expression" dxfId="1" priority="237">
      <formula>MOD(ROW(),2)=0</formula>
    </cfRule>
  </conditionalFormatting>
  <conditionalFormatting sqref="G124:H124">
    <cfRule type="expression" dxfId="1" priority="235">
      <formula>MOD(ROW(),2)=0</formula>
    </cfRule>
  </conditionalFormatting>
  <conditionalFormatting sqref="K130">
    <cfRule type="expression" dxfId="1" priority="234">
      <formula>MOD(ROW(),2)=0</formula>
    </cfRule>
  </conditionalFormatting>
  <conditionalFormatting sqref="G153:H153">
    <cfRule type="expression" dxfId="1" priority="223">
      <formula>MOD(ROW(),2)=0</formula>
    </cfRule>
  </conditionalFormatting>
  <conditionalFormatting sqref="J153">
    <cfRule type="expression" dxfId="1" priority="224">
      <formula>MOD(ROW(),2)=0</formula>
    </cfRule>
  </conditionalFormatting>
  <conditionalFormatting sqref="G154:H154">
    <cfRule type="expression" dxfId="1" priority="222">
      <formula>MOD(ROW(),2)=0</formula>
    </cfRule>
  </conditionalFormatting>
  <conditionalFormatting sqref="J154">
    <cfRule type="expression" dxfId="1" priority="221">
      <formula>MOD(ROW(),2)=0</formula>
    </cfRule>
  </conditionalFormatting>
  <conditionalFormatting sqref="G182:H182">
    <cfRule type="expression" dxfId="1" priority="219">
      <formula>MOD(ROW(),2)=0</formula>
    </cfRule>
  </conditionalFormatting>
  <conditionalFormatting sqref="J182">
    <cfRule type="expression" dxfId="1" priority="220">
      <formula>MOD(ROW(),2)=0</formula>
    </cfRule>
  </conditionalFormatting>
  <conditionalFormatting sqref="G183:H183">
    <cfRule type="expression" dxfId="1" priority="214">
      <formula>MOD(ROW(),2)=0</formula>
    </cfRule>
  </conditionalFormatting>
  <conditionalFormatting sqref="J183">
    <cfRule type="expression" dxfId="1" priority="218">
      <formula>MOD(ROW(),2)=0</formula>
    </cfRule>
  </conditionalFormatting>
  <conditionalFormatting sqref="G184:H184">
    <cfRule type="expression" dxfId="1" priority="213">
      <formula>MOD(ROW(),2)=0</formula>
    </cfRule>
  </conditionalFormatting>
  <conditionalFormatting sqref="J184">
    <cfRule type="expression" dxfId="1" priority="217">
      <formula>MOD(ROW(),2)=0</formula>
    </cfRule>
  </conditionalFormatting>
  <conditionalFormatting sqref="G185:H185">
    <cfRule type="expression" dxfId="1" priority="212">
      <formula>MOD(ROW(),2)=0</formula>
    </cfRule>
  </conditionalFormatting>
  <conditionalFormatting sqref="J185">
    <cfRule type="expression" dxfId="1" priority="216">
      <formula>MOD(ROW(),2)=0</formula>
    </cfRule>
  </conditionalFormatting>
  <conditionalFormatting sqref="G186:H186">
    <cfRule type="expression" dxfId="1" priority="211">
      <formula>MOD(ROW(),2)=0</formula>
    </cfRule>
  </conditionalFormatting>
  <conditionalFormatting sqref="J186">
    <cfRule type="expression" dxfId="1" priority="215">
      <formula>MOD(ROW(),2)=0</formula>
    </cfRule>
  </conditionalFormatting>
  <conditionalFormatting sqref="H191">
    <cfRule type="expression" dxfId="1" priority="184">
      <formula>MOD(ROW(),2)=0</formula>
    </cfRule>
  </conditionalFormatting>
  <conditionalFormatting sqref="H196">
    <cfRule type="expression" dxfId="1" priority="207">
      <formula>MOD(ROW(),2)=0</formula>
    </cfRule>
  </conditionalFormatting>
  <conditionalFormatting sqref="H202">
    <cfRule type="expression" dxfId="1" priority="182">
      <formula>MOD(ROW(),2)=0</formula>
    </cfRule>
  </conditionalFormatting>
  <conditionalFormatting sqref="H210">
    <cfRule type="expression" dxfId="1" priority="208">
      <formula>MOD(ROW(),2)=0</formula>
    </cfRule>
  </conditionalFormatting>
  <conditionalFormatting sqref="H214">
    <cfRule type="expression" dxfId="1" priority="194">
      <formula>MOD(ROW(),2)=0</formula>
    </cfRule>
  </conditionalFormatting>
  <conditionalFormatting sqref="H237">
    <cfRule type="expression" dxfId="1" priority="204">
      <formula>MOD(ROW(),2)=0</formula>
    </cfRule>
  </conditionalFormatting>
  <conditionalFormatting sqref="H238">
    <cfRule type="expression" dxfId="1" priority="203">
      <formula>MOD(ROW(),2)=0</formula>
    </cfRule>
  </conditionalFormatting>
  <conditionalFormatting sqref="H239">
    <cfRule type="expression" dxfId="1" priority="202">
      <formula>MOD(ROW(),2)=0</formula>
    </cfRule>
  </conditionalFormatting>
  <conditionalFormatting sqref="H240">
    <cfRule type="expression" dxfId="1" priority="197">
      <formula>MOD(ROW(),2)=0</formula>
    </cfRule>
  </conditionalFormatting>
  <conditionalFormatting sqref="H247">
    <cfRule type="expression" dxfId="1" priority="206">
      <formula>MOD(ROW(),2)=0</formula>
    </cfRule>
  </conditionalFormatting>
  <conditionalFormatting sqref="H251">
    <cfRule type="expression" dxfId="1" priority="185">
      <formula>MOD(ROW(),2)=0</formula>
    </cfRule>
  </conditionalFormatting>
  <conditionalFormatting sqref="H252">
    <cfRule type="expression" dxfId="1" priority="183">
      <formula>MOD(ROW(),2)=0</formula>
    </cfRule>
  </conditionalFormatting>
  <conditionalFormatting sqref="H256">
    <cfRule type="expression" dxfId="1" priority="201">
      <formula>MOD(ROW(),2)=0</formula>
    </cfRule>
  </conditionalFormatting>
  <conditionalFormatting sqref="H257">
    <cfRule type="expression" dxfId="1" priority="200">
      <formula>MOD(ROW(),2)=0</formula>
    </cfRule>
  </conditionalFormatting>
  <conditionalFormatting sqref="H263">
    <cfRule type="expression" dxfId="1" priority="199">
      <formula>MOD(ROW(),2)=0</formula>
    </cfRule>
  </conditionalFormatting>
  <conditionalFormatting sqref="H272">
    <cfRule type="expression" dxfId="1" priority="181">
      <formula>MOD(ROW(),2)=0</formula>
    </cfRule>
  </conditionalFormatting>
  <conditionalFormatting sqref="H282">
    <cfRule type="expression" dxfId="1" priority="193">
      <formula>MOD(ROW(),2)=0</formula>
    </cfRule>
  </conditionalFormatting>
  <conditionalFormatting sqref="H283">
    <cfRule type="expression" dxfId="1" priority="192">
      <formula>MOD(ROW(),2)=0</formula>
    </cfRule>
  </conditionalFormatting>
  <conditionalFormatting sqref="H284">
    <cfRule type="expression" dxfId="1" priority="191">
      <formula>MOD(ROW(),2)=0</formula>
    </cfRule>
  </conditionalFormatting>
  <conditionalFormatting sqref="H285">
    <cfRule type="expression" dxfId="1" priority="187">
      <formula>MOD(ROW(),2)=0</formula>
    </cfRule>
  </conditionalFormatting>
  <conditionalFormatting sqref="H286">
    <cfRule type="expression" dxfId="1" priority="196">
      <formula>MOD(ROW(),2)=0</formula>
    </cfRule>
  </conditionalFormatting>
  <conditionalFormatting sqref="H287">
    <cfRule type="expression" dxfId="1" priority="195">
      <formula>MOD(ROW(),2)=0</formula>
    </cfRule>
  </conditionalFormatting>
  <conditionalFormatting sqref="H289">
    <cfRule type="expression" dxfId="1" priority="190">
      <formula>MOD(ROW(),2)=0</formula>
    </cfRule>
  </conditionalFormatting>
  <conditionalFormatting sqref="H290">
    <cfRule type="expression" dxfId="1" priority="189">
      <formula>MOD(ROW(),2)=0</formula>
    </cfRule>
  </conditionalFormatting>
  <conditionalFormatting sqref="H291">
    <cfRule type="expression" dxfId="1" priority="188">
      <formula>MOD(ROW(),2)=0</formula>
    </cfRule>
  </conditionalFormatting>
  <conditionalFormatting sqref="G334:H334">
    <cfRule type="expression" dxfId="1" priority="118">
      <formula>MOD(ROW(),2)=0</formula>
    </cfRule>
  </conditionalFormatting>
  <conditionalFormatting sqref="H336">
    <cfRule type="expression" dxfId="1" priority="176">
      <formula>MOD(ROW(),2)=0</formula>
    </cfRule>
  </conditionalFormatting>
  <conditionalFormatting sqref="H343">
    <cfRule type="expression" dxfId="1" priority="175">
      <formula>MOD(ROW(),2)=0</formula>
    </cfRule>
  </conditionalFormatting>
  <conditionalFormatting sqref="H344">
    <cfRule type="expression" dxfId="1" priority="174">
      <formula>MOD(ROW(),2)=0</formula>
    </cfRule>
  </conditionalFormatting>
  <conditionalFormatting sqref="H345">
    <cfRule type="expression" dxfId="1" priority="155">
      <formula>MOD(ROW(),2)=0</formula>
    </cfRule>
  </conditionalFormatting>
  <conditionalFormatting sqref="H346">
    <cfRule type="expression" dxfId="1" priority="154">
      <formula>MOD(ROW(),2)=0</formula>
    </cfRule>
  </conditionalFormatting>
  <conditionalFormatting sqref="H348">
    <cfRule type="expression" dxfId="1" priority="153">
      <formula>MOD(ROW(),2)=0</formula>
    </cfRule>
  </conditionalFormatting>
  <conditionalFormatting sqref="H349">
    <cfRule type="expression" dxfId="1" priority="152">
      <formula>MOD(ROW(),2)=0</formula>
    </cfRule>
  </conditionalFormatting>
  <conditionalFormatting sqref="H350">
    <cfRule type="expression" dxfId="1" priority="151">
      <formula>MOD(ROW(),2)=0</formula>
    </cfRule>
  </conditionalFormatting>
  <conditionalFormatting sqref="H351">
    <cfRule type="expression" dxfId="1" priority="150">
      <formula>MOD(ROW(),2)=0</formula>
    </cfRule>
  </conditionalFormatting>
  <conditionalFormatting sqref="H352">
    <cfRule type="expression" dxfId="1" priority="173">
      <formula>MOD(ROW(),2)=0</formula>
    </cfRule>
  </conditionalFormatting>
  <conditionalFormatting sqref="H353">
    <cfRule type="expression" dxfId="1" priority="172">
      <formula>MOD(ROW(),2)=0</formula>
    </cfRule>
  </conditionalFormatting>
  <conditionalFormatting sqref="H354">
    <cfRule type="expression" dxfId="1" priority="149">
      <formula>MOD(ROW(),2)=0</formula>
    </cfRule>
  </conditionalFormatting>
  <conditionalFormatting sqref="H355">
    <cfRule type="expression" dxfId="1" priority="148">
      <formula>MOD(ROW(),2)=0</formula>
    </cfRule>
  </conditionalFormatting>
  <conditionalFormatting sqref="H356">
    <cfRule type="expression" dxfId="1" priority="124">
      <formula>MOD(ROW(),2)=0</formula>
    </cfRule>
  </conditionalFormatting>
  <conditionalFormatting sqref="H357">
    <cfRule type="expression" dxfId="1" priority="123">
      <formula>MOD(ROW(),2)=0</formula>
    </cfRule>
  </conditionalFormatting>
  <conditionalFormatting sqref="H358">
    <cfRule type="expression" dxfId="1" priority="122">
      <formula>MOD(ROW(),2)=0</formula>
    </cfRule>
  </conditionalFormatting>
  <conditionalFormatting sqref="H359">
    <cfRule type="expression" dxfId="1" priority="121">
      <formula>MOD(ROW(),2)=0</formula>
    </cfRule>
  </conditionalFormatting>
  <conditionalFormatting sqref="H362">
    <cfRule type="expression" dxfId="1" priority="171">
      <formula>MOD(ROW(),2)=0</formula>
    </cfRule>
  </conditionalFormatting>
  <conditionalFormatting sqref="H363">
    <cfRule type="expression" dxfId="1" priority="170">
      <formula>MOD(ROW(),2)=0</formula>
    </cfRule>
  </conditionalFormatting>
  <conditionalFormatting sqref="H364">
    <cfRule type="expression" dxfId="1" priority="169">
      <formula>MOD(ROW(),2)=0</formula>
    </cfRule>
  </conditionalFormatting>
  <conditionalFormatting sqref="H365">
    <cfRule type="expression" dxfId="1" priority="168">
      <formula>MOD(ROW(),2)=0</formula>
    </cfRule>
  </conditionalFormatting>
  <conditionalFormatting sqref="H366">
    <cfRule type="expression" dxfId="1" priority="167">
      <formula>MOD(ROW(),2)=0</formula>
    </cfRule>
  </conditionalFormatting>
  <conditionalFormatting sqref="H367">
    <cfRule type="expression" dxfId="1" priority="147">
      <formula>MOD(ROW(),2)=0</formula>
    </cfRule>
  </conditionalFormatting>
  <conditionalFormatting sqref="H368">
    <cfRule type="expression" dxfId="1" priority="146">
      <formula>MOD(ROW(),2)=0</formula>
    </cfRule>
  </conditionalFormatting>
  <conditionalFormatting sqref="H369">
    <cfRule type="expression" dxfId="1" priority="145">
      <formula>MOD(ROW(),2)=0</formula>
    </cfRule>
  </conditionalFormatting>
  <conditionalFormatting sqref="H370">
    <cfRule type="expression" dxfId="1" priority="144">
      <formula>MOD(ROW(),2)=0</formula>
    </cfRule>
  </conditionalFormatting>
  <conditionalFormatting sqref="H376">
    <cfRule type="expression" dxfId="1" priority="166">
      <formula>MOD(ROW(),2)=0</formula>
    </cfRule>
  </conditionalFormatting>
  <conditionalFormatting sqref="H388">
    <cfRule type="expression" dxfId="1" priority="135">
      <formula>MOD(ROW(),2)=0</formula>
    </cfRule>
  </conditionalFormatting>
  <conditionalFormatting sqref="H389">
    <cfRule type="expression" dxfId="1" priority="134">
      <formula>MOD(ROW(),2)=0</formula>
    </cfRule>
  </conditionalFormatting>
  <conditionalFormatting sqref="H391">
    <cfRule type="expression" dxfId="1" priority="133">
      <formula>MOD(ROW(),2)=0</formula>
    </cfRule>
  </conditionalFormatting>
  <conditionalFormatting sqref="H392">
    <cfRule type="expression" dxfId="1" priority="160">
      <formula>MOD(ROW(),2)=0</formula>
    </cfRule>
  </conditionalFormatting>
  <conditionalFormatting sqref="H393">
    <cfRule type="expression" dxfId="1" priority="159">
      <formula>MOD(ROW(),2)=0</formula>
    </cfRule>
  </conditionalFormatting>
  <conditionalFormatting sqref="H394">
    <cfRule type="expression" dxfId="1" priority="158">
      <formula>MOD(ROW(),2)=0</formula>
    </cfRule>
  </conditionalFormatting>
  <conditionalFormatting sqref="H395">
    <cfRule type="expression" dxfId="1" priority="143">
      <formula>MOD(ROW(),2)=0</formula>
    </cfRule>
  </conditionalFormatting>
  <conditionalFormatting sqref="H396">
    <cfRule type="expression" dxfId="1" priority="142">
      <formula>MOD(ROW(),2)=0</formula>
    </cfRule>
  </conditionalFormatting>
  <conditionalFormatting sqref="H397">
    <cfRule type="expression" dxfId="1" priority="141">
      <formula>MOD(ROW(),2)=0</formula>
    </cfRule>
  </conditionalFormatting>
  <conditionalFormatting sqref="H398">
    <cfRule type="expression" dxfId="1" priority="140">
      <formula>MOD(ROW(),2)=0</formula>
    </cfRule>
  </conditionalFormatting>
  <conditionalFormatting sqref="G401">
    <cfRule type="expression" dxfId="1" priority="119">
      <formula>MOD(ROW(),2)=0</formula>
    </cfRule>
  </conditionalFormatting>
  <conditionalFormatting sqref="H401">
    <cfRule type="expression" dxfId="1" priority="120">
      <formula>MOD(ROW(),2)=0</formula>
    </cfRule>
  </conditionalFormatting>
  <conditionalFormatting sqref="H409">
    <cfRule type="expression" dxfId="1" priority="127">
      <formula>MOD(ROW(),2)=0</formula>
    </cfRule>
  </conditionalFormatting>
  <conditionalFormatting sqref="H410">
    <cfRule type="expression" dxfId="1" priority="126">
      <formula>MOD(ROW(),2)=0</formula>
    </cfRule>
  </conditionalFormatting>
  <conditionalFormatting sqref="H411">
    <cfRule type="expression" dxfId="1" priority="125">
      <formula>MOD(ROW(),2)=0</formula>
    </cfRule>
  </conditionalFormatting>
  <conditionalFormatting sqref="H413">
    <cfRule type="expression" dxfId="1" priority="165">
      <formula>MOD(ROW(),2)=0</formula>
    </cfRule>
  </conditionalFormatting>
  <conditionalFormatting sqref="H414">
    <cfRule type="expression" dxfId="1" priority="164">
      <formula>MOD(ROW(),2)=0</formula>
    </cfRule>
  </conditionalFormatting>
  <conditionalFormatting sqref="H415">
    <cfRule type="expression" dxfId="1" priority="163">
      <formula>MOD(ROW(),2)=0</formula>
    </cfRule>
  </conditionalFormatting>
  <conditionalFormatting sqref="H416">
    <cfRule type="expression" dxfId="1" priority="132">
      <formula>MOD(ROW(),2)=0</formula>
    </cfRule>
  </conditionalFormatting>
  <conditionalFormatting sqref="H417">
    <cfRule type="expression" dxfId="1" priority="131">
      <formula>MOD(ROW(),2)=0</formula>
    </cfRule>
  </conditionalFormatting>
  <conditionalFormatting sqref="H419">
    <cfRule type="expression" dxfId="1" priority="130">
      <formula>MOD(ROW(),2)=0</formula>
    </cfRule>
  </conditionalFormatting>
  <conditionalFormatting sqref="H420">
    <cfRule type="expression" dxfId="1" priority="129">
      <formula>MOD(ROW(),2)=0</formula>
    </cfRule>
  </conditionalFormatting>
  <conditionalFormatting sqref="H422">
    <cfRule type="expression" dxfId="1" priority="137">
      <formula>MOD(ROW(),2)=0</formula>
    </cfRule>
  </conditionalFormatting>
  <conditionalFormatting sqref="H423">
    <cfRule type="expression" dxfId="1" priority="136">
      <formula>MOD(ROW(),2)=0</formula>
    </cfRule>
  </conditionalFormatting>
  <conditionalFormatting sqref="G426">
    <cfRule type="expression" dxfId="1" priority="116">
      <formula>MOD(ROW(),2)=0</formula>
    </cfRule>
  </conditionalFormatting>
  <conditionalFormatting sqref="H426">
    <cfRule type="expression" dxfId="1" priority="117">
      <formula>MOD(ROW(),2)=0</formula>
    </cfRule>
  </conditionalFormatting>
  <conditionalFormatting sqref="H428">
    <cfRule type="expression" dxfId="1" priority="157">
      <formula>MOD(ROW(),2)=0</formula>
    </cfRule>
  </conditionalFormatting>
  <conditionalFormatting sqref="H431">
    <cfRule type="expression" dxfId="1" priority="156">
      <formula>MOD(ROW(),2)=0</formula>
    </cfRule>
  </conditionalFormatting>
  <conditionalFormatting sqref="H432">
    <cfRule type="expression" dxfId="1" priority="162">
      <formula>MOD(ROW(),2)=0</formula>
    </cfRule>
  </conditionalFormatting>
  <conditionalFormatting sqref="H433">
    <cfRule type="expression" dxfId="1" priority="128">
      <formula>MOD(ROW(),2)=0</formula>
    </cfRule>
  </conditionalFormatting>
  <conditionalFormatting sqref="H434">
    <cfRule type="expression" dxfId="1" priority="161">
      <formula>MOD(ROW(),2)=0</formula>
    </cfRule>
  </conditionalFormatting>
  <conditionalFormatting sqref="H497">
    <cfRule type="expression" dxfId="1" priority="54">
      <formula>MOD(ROW(),2)=0</formula>
    </cfRule>
  </conditionalFormatting>
  <conditionalFormatting sqref="H501">
    <cfRule type="expression" dxfId="1" priority="113">
      <formula>MOD(ROW(),2)=0</formula>
    </cfRule>
  </conditionalFormatting>
  <conditionalFormatting sqref="H502">
    <cfRule type="expression" dxfId="1" priority="57">
      <formula>MOD(ROW(),2)=0</formula>
    </cfRule>
  </conditionalFormatting>
  <conditionalFormatting sqref="H503">
    <cfRule type="expression" dxfId="1" priority="112">
      <formula>MOD(ROW(),2)=0</formula>
    </cfRule>
  </conditionalFormatting>
  <conditionalFormatting sqref="H504">
    <cfRule type="expression" dxfId="1" priority="111">
      <formula>MOD(ROW(),2)=0</formula>
    </cfRule>
  </conditionalFormatting>
  <conditionalFormatting sqref="H505">
    <cfRule type="expression" dxfId="1" priority="110">
      <formula>MOD(ROW(),2)=0</formula>
    </cfRule>
  </conditionalFormatting>
  <conditionalFormatting sqref="H506">
    <cfRule type="expression" dxfId="1" priority="109">
      <formula>MOD(ROW(),2)=0</formula>
    </cfRule>
  </conditionalFormatting>
  <conditionalFormatting sqref="H507">
    <cfRule type="expression" dxfId="1" priority="56">
      <formula>MOD(ROW(),2)=0</formula>
    </cfRule>
  </conditionalFormatting>
  <conditionalFormatting sqref="H508">
    <cfRule type="expression" dxfId="1" priority="21">
      <formula>MOD(ROW(),2)=0</formula>
    </cfRule>
  </conditionalFormatting>
  <conditionalFormatting sqref="H509">
    <cfRule type="expression" dxfId="1" priority="50">
      <formula>MOD(ROW(),2)=0</formula>
    </cfRule>
  </conditionalFormatting>
  <conditionalFormatting sqref="H510">
    <cfRule type="expression" dxfId="1" priority="49">
      <formula>MOD(ROW(),2)=0</formula>
    </cfRule>
  </conditionalFormatting>
  <conditionalFormatting sqref="H511">
    <cfRule type="expression" dxfId="1" priority="108">
      <formula>MOD(ROW(),2)=0</formula>
    </cfRule>
  </conditionalFormatting>
  <conditionalFormatting sqref="H512">
    <cfRule type="expression" dxfId="1" priority="107">
      <formula>MOD(ROW(),2)=0</formula>
    </cfRule>
  </conditionalFormatting>
  <conditionalFormatting sqref="H513">
    <cfRule type="expression" dxfId="1" priority="106">
      <formula>MOD(ROW(),2)=0</formula>
    </cfRule>
  </conditionalFormatting>
  <conditionalFormatting sqref="G514">
    <cfRule type="expression" dxfId="1" priority="61">
      <formula>MOD(ROW(),2)=0</formula>
    </cfRule>
  </conditionalFormatting>
  <conditionalFormatting sqref="H514">
    <cfRule type="expression" dxfId="1" priority="94">
      <formula>MOD(ROW(),2)=0</formula>
    </cfRule>
  </conditionalFormatting>
  <conditionalFormatting sqref="H515">
    <cfRule type="expression" dxfId="1" priority="32">
      <formula>MOD(ROW(),2)=0</formula>
    </cfRule>
  </conditionalFormatting>
  <conditionalFormatting sqref="H516">
    <cfRule type="expression" dxfId="1" priority="105">
      <formula>MOD(ROW(),2)=0</formula>
    </cfRule>
  </conditionalFormatting>
  <conditionalFormatting sqref="H517">
    <cfRule type="expression" dxfId="1" priority="104">
      <formula>MOD(ROW(),2)=0</formula>
    </cfRule>
  </conditionalFormatting>
  <conditionalFormatting sqref="H518">
    <cfRule type="expression" dxfId="1" priority="103">
      <formula>MOD(ROW(),2)=0</formula>
    </cfRule>
  </conditionalFormatting>
  <conditionalFormatting sqref="H519">
    <cfRule type="expression" dxfId="1" priority="102">
      <formula>MOD(ROW(),2)=0</formula>
    </cfRule>
  </conditionalFormatting>
  <conditionalFormatting sqref="H520">
    <cfRule type="expression" dxfId="1" priority="101">
      <formula>MOD(ROW(),2)=0</formula>
    </cfRule>
  </conditionalFormatting>
  <conditionalFormatting sqref="H521">
    <cfRule type="expression" dxfId="1" priority="100">
      <formula>MOD(ROW(),2)=0</formula>
    </cfRule>
  </conditionalFormatting>
  <conditionalFormatting sqref="G522">
    <cfRule type="expression" dxfId="1" priority="62">
      <formula>MOD(ROW(),2)=0</formula>
    </cfRule>
  </conditionalFormatting>
  <conditionalFormatting sqref="H522">
    <cfRule type="expression" dxfId="1" priority="99">
      <formula>MOD(ROW(),2)=0</formula>
    </cfRule>
  </conditionalFormatting>
  <conditionalFormatting sqref="H523">
    <cfRule type="expression" dxfId="1" priority="98">
      <formula>MOD(ROW(),2)=0</formula>
    </cfRule>
  </conditionalFormatting>
  <conditionalFormatting sqref="H524">
    <cfRule type="expression" dxfId="1" priority="97">
      <formula>MOD(ROW(),2)=0</formula>
    </cfRule>
  </conditionalFormatting>
  <conditionalFormatting sqref="H525">
    <cfRule type="expression" dxfId="1" priority="96">
      <formula>MOD(ROW(),2)=0</formula>
    </cfRule>
  </conditionalFormatting>
  <conditionalFormatting sqref="H526">
    <cfRule type="expression" dxfId="1" priority="95">
      <formula>MOD(ROW(),2)=0</formula>
    </cfRule>
  </conditionalFormatting>
  <conditionalFormatting sqref="H531">
    <cfRule type="expression" dxfId="1" priority="42">
      <formula>MOD(ROW(),2)=0</formula>
    </cfRule>
  </conditionalFormatting>
  <conditionalFormatting sqref="H532">
    <cfRule type="expression" dxfId="1" priority="41">
      <formula>MOD(ROW(),2)=0</formula>
    </cfRule>
  </conditionalFormatting>
  <conditionalFormatting sqref="G534">
    <cfRule type="expression" dxfId="1" priority="7">
      <formula>MOD(ROW(),2)=0</formula>
    </cfRule>
  </conditionalFormatting>
  <conditionalFormatting sqref="H534">
    <cfRule type="expression" dxfId="1" priority="8">
      <formula>MOD(ROW(),2)=0</formula>
    </cfRule>
  </conditionalFormatting>
  <conditionalFormatting sqref="H535">
    <cfRule type="expression" dxfId="1" priority="93">
      <formula>MOD(ROW(),2)=0</formula>
    </cfRule>
  </conditionalFormatting>
  <conditionalFormatting sqref="H536">
    <cfRule type="expression" dxfId="1" priority="92">
      <formula>MOD(ROW(),2)=0</formula>
    </cfRule>
  </conditionalFormatting>
  <conditionalFormatting sqref="H537">
    <cfRule type="expression" dxfId="1" priority="53">
      <formula>MOD(ROW(),2)=0</formula>
    </cfRule>
  </conditionalFormatting>
  <conditionalFormatting sqref="H538">
    <cfRule type="expression" dxfId="1" priority="52">
      <formula>MOD(ROW(),2)=0</formula>
    </cfRule>
  </conditionalFormatting>
  <conditionalFormatting sqref="H539">
    <cfRule type="expression" dxfId="1" priority="91">
      <formula>MOD(ROW(),2)=0</formula>
    </cfRule>
  </conditionalFormatting>
  <conditionalFormatting sqref="H540">
    <cfRule type="expression" dxfId="1" priority="90">
      <formula>MOD(ROW(),2)=0</formula>
    </cfRule>
  </conditionalFormatting>
  <conditionalFormatting sqref="H541">
    <cfRule type="expression" dxfId="1" priority="89">
      <formula>MOD(ROW(),2)=0</formula>
    </cfRule>
  </conditionalFormatting>
  <conditionalFormatting sqref="H542">
    <cfRule type="expression" dxfId="1" priority="88">
      <formula>MOD(ROW(),2)=0</formula>
    </cfRule>
  </conditionalFormatting>
  <conditionalFormatting sqref="H543">
    <cfRule type="expression" dxfId="1" priority="87">
      <formula>MOD(ROW(),2)=0</formula>
    </cfRule>
  </conditionalFormatting>
  <conditionalFormatting sqref="H544">
    <cfRule type="expression" dxfId="1" priority="86">
      <formula>MOD(ROW(),2)=0</formula>
    </cfRule>
  </conditionalFormatting>
  <conditionalFormatting sqref="H545">
    <cfRule type="expression" dxfId="1" priority="85">
      <formula>MOD(ROW(),2)=0</formula>
    </cfRule>
  </conditionalFormatting>
  <conditionalFormatting sqref="G546">
    <cfRule type="expression" dxfId="1" priority="60">
      <formula>MOD(ROW(),2)=0</formula>
    </cfRule>
  </conditionalFormatting>
  <conditionalFormatting sqref="H546">
    <cfRule type="expression" dxfId="1" priority="84">
      <formula>MOD(ROW(),2)=0</formula>
    </cfRule>
  </conditionalFormatting>
  <conditionalFormatting sqref="H547">
    <cfRule type="expression" dxfId="1" priority="83">
      <formula>MOD(ROW(),2)=0</formula>
    </cfRule>
  </conditionalFormatting>
  <conditionalFormatting sqref="H548">
    <cfRule type="expression" dxfId="1" priority="82">
      <formula>MOD(ROW(),2)=0</formula>
    </cfRule>
  </conditionalFormatting>
  <conditionalFormatting sqref="H549">
    <cfRule type="expression" dxfId="1" priority="81">
      <formula>MOD(ROW(),2)=0</formula>
    </cfRule>
  </conditionalFormatting>
  <conditionalFormatting sqref="H550">
    <cfRule type="expression" dxfId="1" priority="80">
      <formula>MOD(ROW(),2)=0</formula>
    </cfRule>
  </conditionalFormatting>
  <conditionalFormatting sqref="H551">
    <cfRule type="expression" dxfId="1" priority="79">
      <formula>MOD(ROW(),2)=0</formula>
    </cfRule>
  </conditionalFormatting>
  <conditionalFormatting sqref="H552">
    <cfRule type="expression" dxfId="1" priority="78">
      <formula>MOD(ROW(),2)=0</formula>
    </cfRule>
  </conditionalFormatting>
  <conditionalFormatting sqref="H553">
    <cfRule type="expression" dxfId="1" priority="77">
      <formula>MOD(ROW(),2)=0</formula>
    </cfRule>
  </conditionalFormatting>
  <conditionalFormatting sqref="H554">
    <cfRule type="expression" dxfId="1" priority="76">
      <formula>MOD(ROW(),2)=0</formula>
    </cfRule>
  </conditionalFormatting>
  <conditionalFormatting sqref="H555">
    <cfRule type="expression" dxfId="1" priority="75">
      <formula>MOD(ROW(),2)=0</formula>
    </cfRule>
  </conditionalFormatting>
  <conditionalFormatting sqref="G558">
    <cfRule type="expression" dxfId="1" priority="59">
      <formula>MOD(ROW(),2)=0</formula>
    </cfRule>
  </conditionalFormatting>
  <conditionalFormatting sqref="H558">
    <cfRule type="expression" dxfId="1" priority="73">
      <formula>MOD(ROW(),2)=0</formula>
    </cfRule>
  </conditionalFormatting>
  <conditionalFormatting sqref="H559">
    <cfRule type="expression" dxfId="1" priority="51">
      <formula>MOD(ROW(),2)=0</formula>
    </cfRule>
  </conditionalFormatting>
  <conditionalFormatting sqref="H560">
    <cfRule type="expression" dxfId="1" priority="72">
      <formula>MOD(ROW(),2)=0</formula>
    </cfRule>
  </conditionalFormatting>
  <conditionalFormatting sqref="H561">
    <cfRule type="expression" dxfId="1" priority="71">
      <formula>MOD(ROW(),2)=0</formula>
    </cfRule>
  </conditionalFormatting>
  <conditionalFormatting sqref="H562">
    <cfRule type="expression" dxfId="1" priority="69">
      <formula>MOD(ROW(),2)=0</formula>
    </cfRule>
  </conditionalFormatting>
  <conditionalFormatting sqref="G563">
    <cfRule type="expression" dxfId="1" priority="58">
      <formula>MOD(ROW(),2)=0</formula>
    </cfRule>
  </conditionalFormatting>
  <conditionalFormatting sqref="H563">
    <cfRule type="expression" dxfId="1" priority="70">
      <formula>MOD(ROW(),2)=0</formula>
    </cfRule>
  </conditionalFormatting>
  <conditionalFormatting sqref="H564">
    <cfRule type="expression" dxfId="1" priority="48">
      <formula>MOD(ROW(),2)=0</formula>
    </cfRule>
  </conditionalFormatting>
  <conditionalFormatting sqref="H565">
    <cfRule type="expression" dxfId="1" priority="47">
      <formula>MOD(ROW(),2)=0</formula>
    </cfRule>
  </conditionalFormatting>
  <conditionalFormatting sqref="H566">
    <cfRule type="expression" dxfId="1" priority="46">
      <formula>MOD(ROW(),2)=0</formula>
    </cfRule>
  </conditionalFormatting>
  <conditionalFormatting sqref="H567">
    <cfRule type="expression" dxfId="1" priority="44">
      <formula>MOD(ROW(),2)=0</formula>
    </cfRule>
  </conditionalFormatting>
  <conditionalFormatting sqref="H568">
    <cfRule type="expression" dxfId="1" priority="45">
      <formula>MOD(ROW(),2)=0</formula>
    </cfRule>
  </conditionalFormatting>
  <conditionalFormatting sqref="H569">
    <cfRule type="expression" dxfId="1" priority="43">
      <formula>MOD(ROW(),2)=0</formula>
    </cfRule>
  </conditionalFormatting>
  <conditionalFormatting sqref="H570">
    <cfRule type="expression" dxfId="1" priority="68">
      <formula>MOD(ROW(),2)=0</formula>
    </cfRule>
  </conditionalFormatting>
  <conditionalFormatting sqref="H571">
    <cfRule type="expression" dxfId="1" priority="23">
      <formula>MOD(ROW(),2)=0</formula>
    </cfRule>
  </conditionalFormatting>
  <conditionalFormatting sqref="H572">
    <cfRule type="expression" dxfId="1" priority="22">
      <formula>MOD(ROW(),2)=0</formula>
    </cfRule>
  </conditionalFormatting>
  <conditionalFormatting sqref="H573">
    <cfRule type="expression" dxfId="1" priority="67">
      <formula>MOD(ROW(),2)=0</formula>
    </cfRule>
  </conditionalFormatting>
  <conditionalFormatting sqref="H574">
    <cfRule type="expression" dxfId="1" priority="66">
      <formula>MOD(ROW(),2)=0</formula>
    </cfRule>
  </conditionalFormatting>
  <conditionalFormatting sqref="H575">
    <cfRule type="expression" dxfId="1" priority="65">
      <formula>MOD(ROW(),2)=0</formula>
    </cfRule>
  </conditionalFormatting>
  <conditionalFormatting sqref="H576">
    <cfRule type="expression" dxfId="1" priority="64">
      <formula>MOD(ROW(),2)=0</formula>
    </cfRule>
  </conditionalFormatting>
  <conditionalFormatting sqref="H577">
    <cfRule type="expression" dxfId="1" priority="63">
      <formula>MOD(ROW(),2)=0</formula>
    </cfRule>
  </conditionalFormatting>
  <conditionalFormatting sqref="H578">
    <cfRule type="expression" dxfId="1" priority="40">
      <formula>MOD(ROW(),2)=0</formula>
    </cfRule>
  </conditionalFormatting>
  <conditionalFormatting sqref="H579">
    <cfRule type="expression" dxfId="1" priority="39">
      <formula>MOD(ROW(),2)=0</formula>
    </cfRule>
  </conditionalFormatting>
  <conditionalFormatting sqref="H580">
    <cfRule type="expression" dxfId="1" priority="38">
      <formula>MOD(ROW(),2)=0</formula>
    </cfRule>
  </conditionalFormatting>
  <conditionalFormatting sqref="H581">
    <cfRule type="expression" dxfId="1" priority="37">
      <formula>MOD(ROW(),2)=0</formula>
    </cfRule>
  </conditionalFormatting>
  <conditionalFormatting sqref="H582">
    <cfRule type="expression" dxfId="1" priority="36">
      <formula>MOD(ROW(),2)=0</formula>
    </cfRule>
  </conditionalFormatting>
  <conditionalFormatting sqref="H583">
    <cfRule type="expression" dxfId="1" priority="35">
      <formula>MOD(ROW(),2)=0</formula>
    </cfRule>
  </conditionalFormatting>
  <conditionalFormatting sqref="H584">
    <cfRule type="expression" dxfId="1" priority="34">
      <formula>MOD(ROW(),2)=0</formula>
    </cfRule>
  </conditionalFormatting>
  <conditionalFormatting sqref="H585">
    <cfRule type="expression" dxfId="1" priority="33">
      <formula>MOD(ROW(),2)=0</formula>
    </cfRule>
  </conditionalFormatting>
  <conditionalFormatting sqref="H586">
    <cfRule type="expression" dxfId="1" priority="31">
      <formula>MOD(ROW(),2)=0</formula>
    </cfRule>
  </conditionalFormatting>
  <conditionalFormatting sqref="H587">
    <cfRule type="expression" dxfId="1" priority="2">
      <formula>MOD(ROW(),2)=0</formula>
    </cfRule>
  </conditionalFormatting>
  <conditionalFormatting sqref="H588">
    <cfRule type="expression" dxfId="1" priority="30">
      <formula>MOD(ROW(),2)=0</formula>
    </cfRule>
  </conditionalFormatting>
  <conditionalFormatting sqref="H589">
    <cfRule type="expression" dxfId="1" priority="29">
      <formula>MOD(ROW(),2)=0</formula>
    </cfRule>
  </conditionalFormatting>
  <conditionalFormatting sqref="H590">
    <cfRule type="expression" dxfId="1" priority="28">
      <formula>MOD(ROW(),2)=0</formula>
    </cfRule>
  </conditionalFormatting>
  <conditionalFormatting sqref="H591">
    <cfRule type="expression" dxfId="1" priority="27">
      <formula>MOD(ROW(),2)=0</formula>
    </cfRule>
  </conditionalFormatting>
  <conditionalFormatting sqref="H592">
    <cfRule type="expression" dxfId="1" priority="26">
      <formula>MOD(ROW(),2)=0</formula>
    </cfRule>
  </conditionalFormatting>
  <conditionalFormatting sqref="H593">
    <cfRule type="expression" dxfId="1" priority="25">
      <formula>MOD(ROW(),2)=0</formula>
    </cfRule>
  </conditionalFormatting>
  <conditionalFormatting sqref="H594">
    <cfRule type="expression" dxfId="1" priority="24">
      <formula>MOD(ROW(),2)=0</formula>
    </cfRule>
  </conditionalFormatting>
  <conditionalFormatting sqref="H595">
    <cfRule type="expression" dxfId="1" priority="20">
      <formula>MOD(ROW(),2)=0</formula>
    </cfRule>
  </conditionalFormatting>
  <conditionalFormatting sqref="H596">
    <cfRule type="expression" dxfId="1" priority="19">
      <formula>MOD(ROW(),2)=0</formula>
    </cfRule>
  </conditionalFormatting>
  <conditionalFormatting sqref="H597">
    <cfRule type="expression" dxfId="1" priority="18">
      <formula>MOD(ROW(),2)=0</formula>
    </cfRule>
  </conditionalFormatting>
  <conditionalFormatting sqref="H598">
    <cfRule type="expression" dxfId="1" priority="17">
      <formula>MOD(ROW(),2)=0</formula>
    </cfRule>
  </conditionalFormatting>
  <conditionalFormatting sqref="H599">
    <cfRule type="expression" dxfId="1" priority="16">
      <formula>MOD(ROW(),2)=0</formula>
    </cfRule>
  </conditionalFormatting>
  <conditionalFormatting sqref="H600">
    <cfRule type="expression" dxfId="1" priority="15">
      <formula>MOD(ROW(),2)=0</formula>
    </cfRule>
  </conditionalFormatting>
  <conditionalFormatting sqref="H601">
    <cfRule type="expression" dxfId="1" priority="14">
      <formula>MOD(ROW(),2)=0</formula>
    </cfRule>
  </conditionalFormatting>
  <conditionalFormatting sqref="H602">
    <cfRule type="expression" dxfId="1" priority="13">
      <formula>MOD(ROW(),2)=0</formula>
    </cfRule>
  </conditionalFormatting>
  <conditionalFormatting sqref="H603">
    <cfRule type="expression" dxfId="1" priority="12">
      <formula>MOD(ROW(),2)=0</formula>
    </cfRule>
  </conditionalFormatting>
  <conditionalFormatting sqref="H604">
    <cfRule type="expression" dxfId="1" priority="6">
      <formula>MOD(ROW(),2)=0</formula>
    </cfRule>
  </conditionalFormatting>
  <conditionalFormatting sqref="H605">
    <cfRule type="expression" dxfId="1" priority="5">
      <formula>MOD(ROW(),2)=0</formula>
    </cfRule>
  </conditionalFormatting>
  <conditionalFormatting sqref="H606">
    <cfRule type="expression" dxfId="1" priority="4">
      <formula>MOD(ROW(),2)=0</formula>
    </cfRule>
  </conditionalFormatting>
  <conditionalFormatting sqref="H607">
    <cfRule type="expression" dxfId="1" priority="11">
      <formula>MOD(ROW(),2)=0</formula>
    </cfRule>
  </conditionalFormatting>
  <conditionalFormatting sqref="H608">
    <cfRule type="expression" dxfId="1" priority="10">
      <formula>MOD(ROW(),2)=0</formula>
    </cfRule>
  </conditionalFormatting>
  <conditionalFormatting sqref="H609">
    <cfRule type="expression" dxfId="1" priority="9">
      <formula>MOD(ROW(),2)=0</formula>
    </cfRule>
  </conditionalFormatting>
  <conditionalFormatting sqref="H610">
    <cfRule type="expression" dxfId="1" priority="3">
      <formula>MOD(ROW(),2)=0</formula>
    </cfRule>
  </conditionalFormatting>
  <conditionalFormatting sqref="B82:B84">
    <cfRule type="expression" dxfId="1" priority="231">
      <formula>MOD(ROW(),2)=0</formula>
    </cfRule>
  </conditionalFormatting>
  <conditionalFormatting sqref="D93:D94">
    <cfRule type="expression" dxfId="1" priority="239">
      <formula>MOD(ROW(),2)=0</formula>
    </cfRule>
  </conditionalFormatting>
  <conditionalFormatting sqref="D225:D226">
    <cfRule type="expression" dxfId="1" priority="180">
      <formula>MOD(ROW(),2)=0</formula>
    </cfRule>
  </conditionalFormatting>
  <conditionalFormatting sqref="H2:H81">
    <cfRule type="expression" dxfId="1" priority="232">
      <formula>MOD(ROW(),2)=0</formula>
    </cfRule>
  </conditionalFormatting>
  <conditionalFormatting sqref="H87:H115">
    <cfRule type="expression" dxfId="1" priority="238">
      <formula>MOD(ROW(),2)=0</formula>
    </cfRule>
  </conditionalFormatting>
  <conditionalFormatting sqref="H189:H190">
    <cfRule type="expression" dxfId="1" priority="186">
      <formula>MOD(ROW(),2)=0</formula>
    </cfRule>
  </conditionalFormatting>
  <conditionalFormatting sqref="H258:H261">
    <cfRule type="expression" dxfId="1" priority="205">
      <formula>MOD(ROW(),2)=0</formula>
    </cfRule>
  </conditionalFormatting>
  <conditionalFormatting sqref="H269:H270">
    <cfRule type="expression" dxfId="1" priority="198">
      <formula>MOD(ROW(),2)=0</formula>
    </cfRule>
  </conditionalFormatting>
  <conditionalFormatting sqref="H314:H316">
    <cfRule type="expression" dxfId="1" priority="177">
      <formula>MOD(ROW(),2)=0</formula>
    </cfRule>
  </conditionalFormatting>
  <conditionalFormatting sqref="H406:H408">
    <cfRule type="expression" dxfId="1" priority="138">
      <formula>MOD(ROW(),2)=0</formula>
    </cfRule>
  </conditionalFormatting>
  <conditionalFormatting sqref="H498:H500">
    <cfRule type="expression" dxfId="1" priority="114">
      <formula>MOD(ROW(),2)=0</formula>
    </cfRule>
  </conditionalFormatting>
  <conditionalFormatting sqref="H527:H530">
    <cfRule type="expression" dxfId="1" priority="55">
      <formula>MOD(ROW(),2)=0</formula>
    </cfRule>
  </conditionalFormatting>
  <conditionalFormatting sqref="H556:H557">
    <cfRule type="expression" dxfId="1" priority="74">
      <formula>MOD(ROW(),2)=0</formula>
    </cfRule>
  </conditionalFormatting>
  <conditionalFormatting sqref="M82:M85">
    <cfRule type="expression" dxfId="1" priority="226">
      <formula>MOD(ROW(),2)=0</formula>
    </cfRule>
  </conditionalFormatting>
  <conditionalFormatting sqref="M91:M96">
    <cfRule type="expression" dxfId="1" priority="225">
      <formula>MOD(ROW(),2)=0</formula>
    </cfRule>
  </conditionalFormatting>
  <conditionalFormatting sqref="G2:G78 J2:J78 G79 J79 G80 J80 G81 J81">
    <cfRule type="expression" dxfId="1" priority="233">
      <formula>MOD(ROW(),2)=0</formula>
    </cfRule>
  </conditionalFormatting>
  <conditionalFormatting sqref="N82 K83:L83 N83 E84:H84 J84:L84 N84:N85 B86 E86:F86 I86 K86 M86:N86 K87:K89 K91:K96">
    <cfRule type="expression" dxfId="1" priority="243">
      <formula>MOD(ROW(),2)=0</formula>
    </cfRule>
  </conditionalFormatting>
  <conditionalFormatting sqref="E82:H82 J82">
    <cfRule type="expression" dxfId="1" priority="230">
      <formula>MOD(ROW(),2)=0</formula>
    </cfRule>
  </conditionalFormatting>
  <conditionalFormatting sqref="E83:H83 J83">
    <cfRule type="expression" dxfId="1" priority="229">
      <formula>MOD(ROW(),2)=0</formula>
    </cfRule>
  </conditionalFormatting>
  <conditionalFormatting sqref="E85:H85 J85:L85 G86:G87 J86:J87 G88 J88 G89 J89 G90 J90 G91 J91 G92 J92 G93 J93 G94 J94 G95 J95 G96 J96 G97 J97 G98:G103 J98:J103 G104 J104 G105 J105 G106 J106 G107 J107 G108 J108 G109 J109 G110 J110 G111 J111 G112 J112 G113 J113 G114 J114 G115 J115:J152 J155:J156 J165:J168 J171:J172 J179">
    <cfRule type="expression" dxfId="1" priority="242">
      <formula>MOD(ROW(),2)=0</formula>
    </cfRule>
  </conditionalFormatting>
  <conditionalFormatting sqref="G116:H123 G125:H142">
    <cfRule type="expression" dxfId="1" priority="236">
      <formula>MOD(ROW(),2)=0</formula>
    </cfRule>
  </conditionalFormatting>
  <conditionalFormatting sqref="G143:H152 G155:H181">
    <cfRule type="expression" dxfId="1" priority="227">
      <formula>MOD(ROW(),2)=0</formula>
    </cfRule>
  </conditionalFormatting>
  <conditionalFormatting sqref="G187:H188 G189:G191 G192:H195 G196 G197:H201 G202 G203:H209 G210 G211:H213 G214 G215:H223 H224 G225:H236 G237:G240 G241:H246 G247 G248:H250 G251:G252 G253:H255 G256:G261 G262:H262 G263 G264:H268 G269:G270 G271:H271 G272 G273:H274 H275 G276:H281 G282:G287 G288:H288 G289:G291 G292:H292">
    <cfRule type="expression" dxfId="1" priority="210">
      <formula>MOD(ROW(),2)=0</formula>
    </cfRule>
  </conditionalFormatting>
  <conditionalFormatting sqref="G224 G275">
    <cfRule type="expression" dxfId="1" priority="209">
      <formula>MOD(ROW(),2)=0</formula>
    </cfRule>
  </conditionalFormatting>
  <conditionalFormatting sqref="G293:H313 G314:G316 G317:H333 G335:H335 G336 G337:H342 G343:G346 G347:H347 G348:G359 G360:H361 G362:G370 G371:H375 G376 G377:H387 G388:G389 G390:H390 G391:G398 H399 G400 G402:G411 G412:H412 G413:G417 G418:H418 G419:G420 H421 G422:G423 H424:H425 G427:H427 G428 G429:H429 H430 G431:G434">
    <cfRule type="expression" dxfId="1" priority="179">
      <formula>MOD(ROW(),2)=0</formula>
    </cfRule>
  </conditionalFormatting>
  <conditionalFormatting sqref="G399 G421 G424:G425 G430">
    <cfRule type="expression" dxfId="1" priority="178">
      <formula>MOD(ROW(),2)=0</formula>
    </cfRule>
  </conditionalFormatting>
  <conditionalFormatting sqref="H400 H402:H405">
    <cfRule type="expression" dxfId="1" priority="139">
      <formula>MOD(ROW(),2)=0</formula>
    </cfRule>
  </conditionalFormatting>
  <conditionalFormatting sqref="G486:H496 G497:G513 G515:G521 G523:G533 G535:G545 G547:G557 G559:G562 G564:G610">
    <cfRule type="expression" dxfId="1" priority="115">
      <formula>MOD(ROW(),2)=0</formula>
    </cfRule>
  </conditionalFormatting>
  <conditionalFormatting sqref="H533 L533">
    <cfRule type="expression" dxfId="1" priority="1">
      <formula>MOD(ROW(),2)=0</formula>
    </cfRule>
  </conditionalFormatting>
  <dataValidations count="1">
    <dataValidation type="list" allowBlank="1" showInputMessage="1" showErrorMessage="1" sqref="L1 L112 L148 L181 L114:L115">
      <formula1>"是,否"</formula1>
    </dataValidation>
  </dataValidation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3:H32"/>
  <sheetViews>
    <sheetView zoomScale="160" zoomScaleNormal="160" workbookViewId="0">
      <selection activeCell="A1" sqref="$A1:$XFD1048576"/>
    </sheetView>
  </sheetViews>
  <sheetFormatPr defaultColWidth="8.72727272727273" defaultRowHeight="14" outlineLevelCol="7"/>
  <cols>
    <col min="1" max="1" width="37.6363636363636" style="1" customWidth="1"/>
    <col min="2" max="2" width="17.3636363636364" style="1" customWidth="1"/>
    <col min="3" max="3" width="12.9090909090909" style="1" customWidth="1"/>
    <col min="4" max="4" width="17.3636363636364" style="1" customWidth="1"/>
    <col min="5" max="5" width="12.8181818181818" style="1" customWidth="1"/>
    <col min="6" max="6" width="7.54545454545455" style="1" customWidth="1"/>
    <col min="7" max="7" width="11.7272727272727" style="1" customWidth="1"/>
    <col min="8" max="8" width="11.8181818181818" style="1" customWidth="1"/>
    <col min="9" max="16384" width="8.72727272727273" style="1"/>
  </cols>
  <sheetData>
    <row r="3" spans="1:8">
      <c r="A3" s="2" t="s">
        <v>3</v>
      </c>
      <c r="B3" s="2" t="s">
        <v>26</v>
      </c>
      <c r="C3" s="2" t="s">
        <v>27</v>
      </c>
      <c r="D3" s="2" t="s">
        <v>28</v>
      </c>
      <c r="E3" s="2" t="s">
        <v>484</v>
      </c>
      <c r="F3" s="2" t="s">
        <v>29</v>
      </c>
      <c r="G3" s="2" t="s">
        <v>30</v>
      </c>
      <c r="H3" s="2" t="s">
        <v>31</v>
      </c>
    </row>
    <row r="4" spans="1:8">
      <c r="A4" s="1" t="s">
        <v>15</v>
      </c>
      <c r="B4" s="1">
        <v>112751</v>
      </c>
      <c r="C4" s="1">
        <v>9390</v>
      </c>
      <c r="D4" s="1">
        <v>1372472.1</v>
      </c>
      <c r="E4" s="1">
        <f t="shared" ref="E4:E23" si="0">D4/B4</f>
        <v>12.1725935911877</v>
      </c>
      <c r="F4" s="1">
        <v>10.45</v>
      </c>
      <c r="G4" s="1">
        <f t="shared" ref="G4:G23" si="1">F4*B4</f>
        <v>1178247.95</v>
      </c>
      <c r="H4" s="1">
        <f t="shared" ref="H4:H23" si="2">D4-G4</f>
        <v>194224.15</v>
      </c>
    </row>
    <row r="5" spans="1:8">
      <c r="A5" s="1" t="s">
        <v>32</v>
      </c>
      <c r="B5" s="1">
        <v>11512</v>
      </c>
      <c r="C5" s="1">
        <v>1015</v>
      </c>
      <c r="D5" s="1">
        <v>185732.352</v>
      </c>
      <c r="E5" s="1">
        <f t="shared" si="0"/>
        <v>16.1338040305768</v>
      </c>
      <c r="F5" s="1">
        <v>12.57</v>
      </c>
      <c r="G5" s="1">
        <f t="shared" si="1"/>
        <v>144705.84</v>
      </c>
      <c r="H5" s="1">
        <f t="shared" si="2"/>
        <v>41026.512</v>
      </c>
    </row>
    <row r="6" spans="1:8">
      <c r="A6" s="1" t="s">
        <v>33</v>
      </c>
      <c r="B6" s="1">
        <v>42907</v>
      </c>
      <c r="C6" s="1">
        <v>3570</v>
      </c>
      <c r="D6" s="1">
        <v>650646</v>
      </c>
      <c r="E6" s="1">
        <f t="shared" si="0"/>
        <v>15.1640990980493</v>
      </c>
      <c r="F6" s="1">
        <v>12.89</v>
      </c>
      <c r="G6" s="1">
        <f t="shared" si="1"/>
        <v>553071.23</v>
      </c>
      <c r="H6" s="1">
        <f t="shared" si="2"/>
        <v>97574.77</v>
      </c>
    </row>
    <row r="7" spans="1:8">
      <c r="A7" s="1" t="s">
        <v>34</v>
      </c>
      <c r="B7" s="1">
        <v>20892</v>
      </c>
      <c r="C7" s="1">
        <v>1741</v>
      </c>
      <c r="D7" s="1">
        <v>213822</v>
      </c>
      <c r="E7" s="1">
        <f t="shared" si="0"/>
        <v>10.2346352670879</v>
      </c>
      <c r="F7" s="1">
        <v>9.43</v>
      </c>
      <c r="G7" s="1">
        <f t="shared" si="1"/>
        <v>197011.56</v>
      </c>
      <c r="H7" s="1">
        <f t="shared" si="2"/>
        <v>16810.44</v>
      </c>
    </row>
    <row r="8" spans="1:8">
      <c r="A8" s="1" t="s">
        <v>35</v>
      </c>
      <c r="B8" s="1">
        <v>2100</v>
      </c>
      <c r="C8" s="1">
        <v>175</v>
      </c>
      <c r="D8" s="1">
        <v>39117.84</v>
      </c>
      <c r="E8" s="1">
        <f t="shared" si="0"/>
        <v>18.6275428571429</v>
      </c>
      <c r="F8" s="1">
        <v>14.61</v>
      </c>
      <c r="G8" s="1">
        <f t="shared" si="1"/>
        <v>30681</v>
      </c>
      <c r="H8" s="1">
        <f t="shared" si="2"/>
        <v>8436.84</v>
      </c>
    </row>
    <row r="9" spans="1:8">
      <c r="A9" s="1" t="s">
        <v>50</v>
      </c>
      <c r="B9" s="1">
        <v>4944</v>
      </c>
      <c r="C9" s="1">
        <v>412</v>
      </c>
      <c r="D9" s="1">
        <v>87474</v>
      </c>
      <c r="E9" s="1">
        <f t="shared" si="0"/>
        <v>17.6929611650485</v>
      </c>
      <c r="F9" s="1">
        <v>15.52</v>
      </c>
      <c r="G9" s="1">
        <f t="shared" si="1"/>
        <v>76730.88</v>
      </c>
      <c r="H9" s="1">
        <f t="shared" si="2"/>
        <v>10743.12</v>
      </c>
    </row>
    <row r="10" spans="1:8">
      <c r="A10" s="1" t="s">
        <v>53</v>
      </c>
      <c r="B10" s="1">
        <v>1056</v>
      </c>
      <c r="C10" s="1">
        <v>88</v>
      </c>
      <c r="D10" s="1">
        <v>13928</v>
      </c>
      <c r="E10" s="1">
        <f t="shared" si="0"/>
        <v>13.1893939393939</v>
      </c>
      <c r="F10" s="1">
        <v>10.7</v>
      </c>
      <c r="G10" s="1">
        <f t="shared" si="1"/>
        <v>11299.2</v>
      </c>
      <c r="H10" s="1">
        <f t="shared" si="2"/>
        <v>2628.8</v>
      </c>
    </row>
    <row r="11" spans="1:8">
      <c r="A11" s="1" t="s">
        <v>69</v>
      </c>
      <c r="B11" s="1">
        <v>84</v>
      </c>
      <c r="C11" s="1">
        <v>7</v>
      </c>
      <c r="D11" s="1">
        <v>1488</v>
      </c>
      <c r="E11" s="1">
        <f t="shared" si="0"/>
        <v>17.7142857142857</v>
      </c>
      <c r="F11" s="1">
        <v>13.21</v>
      </c>
      <c r="G11" s="1">
        <f t="shared" si="1"/>
        <v>1109.64</v>
      </c>
      <c r="H11" s="1">
        <f t="shared" si="2"/>
        <v>378.36</v>
      </c>
    </row>
    <row r="12" spans="1:8">
      <c r="A12" s="1" t="s">
        <v>70</v>
      </c>
      <c r="B12" s="1">
        <v>60</v>
      </c>
      <c r="C12" s="1">
        <v>5</v>
      </c>
      <c r="E12" s="1">
        <f t="shared" si="0"/>
        <v>0</v>
      </c>
      <c r="G12" s="1">
        <f t="shared" si="1"/>
        <v>0</v>
      </c>
      <c r="H12" s="1">
        <f t="shared" si="2"/>
        <v>0</v>
      </c>
    </row>
    <row r="13" spans="1:8">
      <c r="A13" s="1" t="s">
        <v>370</v>
      </c>
      <c r="B13" s="1">
        <v>588</v>
      </c>
      <c r="C13" s="1">
        <v>49</v>
      </c>
      <c r="D13" s="1">
        <v>20580</v>
      </c>
      <c r="E13" s="1">
        <f t="shared" si="0"/>
        <v>35</v>
      </c>
      <c r="F13" s="1">
        <v>25</v>
      </c>
      <c r="G13" s="1">
        <f t="shared" si="1"/>
        <v>14700</v>
      </c>
      <c r="H13" s="1">
        <f t="shared" si="2"/>
        <v>5880</v>
      </c>
    </row>
    <row r="14" spans="1:8">
      <c r="A14" s="1" t="s">
        <v>51</v>
      </c>
      <c r="B14" s="1">
        <v>312</v>
      </c>
      <c r="C14" s="1">
        <v>26</v>
      </c>
      <c r="D14" s="1">
        <v>3878.4</v>
      </c>
      <c r="E14" s="1">
        <f t="shared" si="0"/>
        <v>12.4307692307692</v>
      </c>
      <c r="F14" s="1">
        <v>8.71</v>
      </c>
      <c r="G14" s="1">
        <f t="shared" si="1"/>
        <v>2717.52</v>
      </c>
      <c r="H14" s="1">
        <f t="shared" si="2"/>
        <v>1160.88</v>
      </c>
    </row>
    <row r="15" spans="1:8">
      <c r="A15" s="1" t="s">
        <v>36</v>
      </c>
      <c r="B15" s="1">
        <v>120</v>
      </c>
      <c r="C15" s="1">
        <v>10</v>
      </c>
      <c r="D15" s="1">
        <v>1684.8</v>
      </c>
      <c r="E15" s="1">
        <f t="shared" si="0"/>
        <v>14.04</v>
      </c>
      <c r="F15" s="1">
        <v>8.91</v>
      </c>
      <c r="G15" s="1">
        <f t="shared" si="1"/>
        <v>1069.2</v>
      </c>
      <c r="H15" s="1">
        <f t="shared" si="2"/>
        <v>615.6</v>
      </c>
    </row>
    <row r="16" spans="1:8">
      <c r="A16" s="1" t="s">
        <v>48</v>
      </c>
      <c r="B16" s="1">
        <v>3972</v>
      </c>
      <c r="C16" s="1">
        <v>331</v>
      </c>
      <c r="D16" s="1">
        <v>66306</v>
      </c>
      <c r="E16" s="1">
        <f t="shared" si="0"/>
        <v>16.6933534743202</v>
      </c>
      <c r="F16" s="1">
        <v>11.47</v>
      </c>
      <c r="G16" s="1">
        <f t="shared" si="1"/>
        <v>45558.84</v>
      </c>
      <c r="H16" s="1">
        <f t="shared" si="2"/>
        <v>20747.16</v>
      </c>
    </row>
    <row r="17" spans="1:8">
      <c r="A17" s="1" t="s">
        <v>37</v>
      </c>
      <c r="B17" s="1">
        <v>120</v>
      </c>
      <c r="C17" s="1">
        <v>10</v>
      </c>
      <c r="D17" s="1">
        <v>2073.6</v>
      </c>
      <c r="E17" s="1">
        <f t="shared" si="0"/>
        <v>17.28</v>
      </c>
      <c r="F17" s="1">
        <v>12.12</v>
      </c>
      <c r="G17" s="1">
        <f t="shared" si="1"/>
        <v>1454.4</v>
      </c>
      <c r="H17" s="1">
        <f t="shared" si="2"/>
        <v>619.2</v>
      </c>
    </row>
    <row r="18" spans="1:8">
      <c r="A18" s="1" t="s">
        <v>95</v>
      </c>
      <c r="B18" s="1">
        <v>1494</v>
      </c>
      <c r="C18" s="1">
        <v>122</v>
      </c>
      <c r="D18" s="1">
        <v>27628.2</v>
      </c>
      <c r="E18" s="1">
        <f t="shared" si="0"/>
        <v>18.4927710843373</v>
      </c>
      <c r="F18" s="1">
        <v>14.12</v>
      </c>
      <c r="G18" s="1">
        <f t="shared" si="1"/>
        <v>21095.28</v>
      </c>
      <c r="H18" s="1">
        <f t="shared" si="2"/>
        <v>6532.92</v>
      </c>
    </row>
    <row r="19" spans="1:8">
      <c r="A19" s="1" t="s">
        <v>38</v>
      </c>
      <c r="B19" s="1">
        <v>240</v>
      </c>
      <c r="C19" s="1">
        <v>20</v>
      </c>
      <c r="D19" s="1">
        <v>5002.56</v>
      </c>
      <c r="E19" s="1">
        <f t="shared" si="0"/>
        <v>20.844</v>
      </c>
      <c r="F19" s="1">
        <v>14.93</v>
      </c>
      <c r="G19" s="1">
        <f t="shared" si="1"/>
        <v>3583.2</v>
      </c>
      <c r="H19" s="1">
        <f t="shared" si="2"/>
        <v>1419.36</v>
      </c>
    </row>
    <row r="20" spans="1:8">
      <c r="A20" s="1" t="s">
        <v>300</v>
      </c>
      <c r="B20" s="1">
        <v>636</v>
      </c>
      <c r="C20" s="1">
        <v>51</v>
      </c>
      <c r="D20" s="1">
        <v>4960.8</v>
      </c>
      <c r="E20" s="1">
        <f t="shared" si="0"/>
        <v>7.8</v>
      </c>
      <c r="F20" s="1">
        <v>6.08</v>
      </c>
      <c r="G20" s="1">
        <f t="shared" si="1"/>
        <v>3866.88</v>
      </c>
      <c r="H20" s="1">
        <f t="shared" si="2"/>
        <v>1093.92</v>
      </c>
    </row>
    <row r="21" spans="1:8">
      <c r="A21" s="1" t="s">
        <v>44</v>
      </c>
      <c r="B21" s="1">
        <v>4428</v>
      </c>
      <c r="C21" s="1">
        <v>369</v>
      </c>
      <c r="D21" s="1">
        <v>54177.6</v>
      </c>
      <c r="E21" s="1">
        <f t="shared" si="0"/>
        <v>12.2352303523035</v>
      </c>
      <c r="F21" s="1">
        <v>8.71</v>
      </c>
      <c r="G21" s="1">
        <f t="shared" si="1"/>
        <v>38567.88</v>
      </c>
      <c r="H21" s="1">
        <f t="shared" si="2"/>
        <v>15609.72</v>
      </c>
    </row>
    <row r="22" spans="1:8">
      <c r="A22" s="1" t="s">
        <v>39</v>
      </c>
      <c r="B22" s="1">
        <v>9492</v>
      </c>
      <c r="C22" s="1">
        <v>791</v>
      </c>
      <c r="D22" s="1">
        <v>147395.04</v>
      </c>
      <c r="E22" s="1">
        <f t="shared" si="0"/>
        <v>15.5283438685209</v>
      </c>
      <c r="F22" s="1">
        <v>11.47</v>
      </c>
      <c r="G22" s="1">
        <f t="shared" si="1"/>
        <v>108873.24</v>
      </c>
      <c r="H22" s="1">
        <f t="shared" si="2"/>
        <v>38521.8</v>
      </c>
    </row>
    <row r="23" spans="1:8">
      <c r="A23" s="1" t="s">
        <v>40</v>
      </c>
      <c r="B23" s="1">
        <v>12446</v>
      </c>
      <c r="C23" s="1">
        <v>1015</v>
      </c>
      <c r="D23" s="1">
        <v>230127.72</v>
      </c>
      <c r="E23" s="1">
        <f t="shared" si="0"/>
        <v>18.4900948095774</v>
      </c>
      <c r="F23" s="1">
        <v>14.12</v>
      </c>
      <c r="G23" s="1">
        <f t="shared" si="1"/>
        <v>175737.52</v>
      </c>
      <c r="H23" s="1">
        <f t="shared" si="2"/>
        <v>54390.2</v>
      </c>
    </row>
    <row r="24" spans="1:8">
      <c r="A24" s="1" t="s">
        <v>485</v>
      </c>
    </row>
    <row r="25" spans="1:8">
      <c r="A25" s="1" t="s">
        <v>41</v>
      </c>
      <c r="B25" s="1">
        <v>230894</v>
      </c>
      <c r="C25" s="1">
        <v>19259</v>
      </c>
      <c r="D25" s="1">
        <v>3154395.012</v>
      </c>
      <c r="G25" s="1" t="s">
        <v>486</v>
      </c>
      <c r="H25" s="3">
        <f>SUM(H4:H23)</f>
        <v>518413.752</v>
      </c>
    </row>
    <row r="28" spans="1:8">
      <c r="F28" s="1" t="s">
        <v>487</v>
      </c>
      <c r="G28" s="1">
        <v>25000</v>
      </c>
      <c r="H28" s="3">
        <f>G28*7</f>
        <v>175000</v>
      </c>
    </row>
    <row r="29" spans="1:8">
      <c r="F29" s="1" t="s">
        <v>488</v>
      </c>
      <c r="G29" s="1">
        <v>28000</v>
      </c>
      <c r="H29" s="3">
        <f>G29*7</f>
        <v>196000</v>
      </c>
    </row>
    <row r="31" spans="1:8">
      <c r="G31" s="1" t="s">
        <v>489</v>
      </c>
      <c r="H31" s="3">
        <v>40125.5192727273</v>
      </c>
    </row>
    <row r="32" spans="1:8">
      <c r="G32" s="1" t="s">
        <v>490</v>
      </c>
      <c r="H32" s="3">
        <f>H25-H28-H29-H31</f>
        <v>107288.232727273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H31"/>
  <sheetViews>
    <sheetView zoomScale="130" zoomScaleNormal="130" workbookViewId="0">
      <selection activeCell="H22" sqref="H22"/>
    </sheetView>
  </sheetViews>
  <sheetFormatPr defaultColWidth="8.72727272727273" defaultRowHeight="14" outlineLevelCol="7"/>
  <cols>
    <col min="1" max="1" width="37.6363636363636"/>
    <col min="2" max="2" width="11.9090909090909"/>
    <col min="3" max="5" width="17.3636363636364"/>
    <col min="6" max="6" width="11.5363636363636" customWidth="1"/>
    <col min="7" max="7" width="14" customWidth="1"/>
    <col min="8" max="8" width="12.8181818181818"/>
  </cols>
  <sheetData>
    <row r="1" customFormat="1" spans="1:8">
      <c r="A1" t="s">
        <v>3</v>
      </c>
      <c r="B1" t="s">
        <v>11</v>
      </c>
      <c r="C1" t="s">
        <v>26</v>
      </c>
      <c r="D1" t="s">
        <v>27</v>
      </c>
      <c r="E1" t="s">
        <v>28</v>
      </c>
      <c r="F1" t="s">
        <v>491</v>
      </c>
      <c r="G1" t="s">
        <v>492</v>
      </c>
      <c r="H1" t="s">
        <v>493</v>
      </c>
    </row>
    <row r="2" customFormat="1" spans="1:8">
      <c r="A2" t="s">
        <v>15</v>
      </c>
      <c r="C2">
        <v>8520</v>
      </c>
      <c r="D2">
        <v>710</v>
      </c>
      <c r="E2">
        <v>119905.2</v>
      </c>
      <c r="F2">
        <v>1.1</v>
      </c>
      <c r="G2">
        <f>E2/F2</f>
        <v>109004.727272727</v>
      </c>
    </row>
    <row r="3" spans="1:8">
      <c r="B3" t="s">
        <v>17</v>
      </c>
      <c r="C3">
        <v>8520</v>
      </c>
      <c r="D3">
        <v>710</v>
      </c>
      <c r="E3">
        <v>119905.2</v>
      </c>
      <c r="F3">
        <v>1.1</v>
      </c>
      <c r="G3">
        <f t="shared" ref="G3:G22" si="0">E3/F3</f>
        <v>109004.727272727</v>
      </c>
    </row>
    <row r="4" customFormat="1" spans="1:8">
      <c r="A4" s="4" t="s">
        <v>32</v>
      </c>
      <c r="C4">
        <v>7824</v>
      </c>
      <c r="D4">
        <v>697</v>
      </c>
      <c r="E4">
        <v>134194.752</v>
      </c>
      <c r="F4">
        <v>1.1</v>
      </c>
      <c r="G4">
        <f t="shared" si="0"/>
        <v>121995.229090909</v>
      </c>
    </row>
    <row r="5" customFormat="1" spans="1:8">
      <c r="A5" s="4"/>
      <c r="B5" t="s">
        <v>17</v>
      </c>
      <c r="C5">
        <v>7824</v>
      </c>
      <c r="D5">
        <v>697</v>
      </c>
      <c r="E5">
        <v>134194.752</v>
      </c>
      <c r="F5">
        <v>1.1</v>
      </c>
      <c r="G5">
        <f t="shared" si="0"/>
        <v>121995.229090909</v>
      </c>
    </row>
    <row r="6" customFormat="1" spans="1:8">
      <c r="A6" s="5" t="s">
        <v>33</v>
      </c>
      <c r="C6">
        <v>2220</v>
      </c>
      <c r="D6">
        <v>195</v>
      </c>
      <c r="E6">
        <v>36705</v>
      </c>
      <c r="F6">
        <v>1.1</v>
      </c>
      <c r="G6">
        <f t="shared" si="0"/>
        <v>33368.1818181818</v>
      </c>
    </row>
    <row r="7" customFormat="1" spans="1:8">
      <c r="A7" s="5"/>
      <c r="B7" t="s">
        <v>17</v>
      </c>
      <c r="C7">
        <v>2220</v>
      </c>
      <c r="D7">
        <v>195</v>
      </c>
      <c r="E7">
        <v>36705</v>
      </c>
      <c r="F7">
        <v>1.1</v>
      </c>
      <c r="G7">
        <f t="shared" si="0"/>
        <v>33368.1818181818</v>
      </c>
    </row>
    <row r="8" customFormat="1" spans="1:8">
      <c r="A8" s="4" t="s">
        <v>34</v>
      </c>
      <c r="C8">
        <v>1044</v>
      </c>
      <c r="D8">
        <v>87</v>
      </c>
      <c r="E8">
        <v>13057.2</v>
      </c>
      <c r="F8">
        <v>1.1</v>
      </c>
      <c r="G8">
        <f t="shared" si="0"/>
        <v>11870.1818181818</v>
      </c>
    </row>
    <row r="9" customFormat="1" spans="1:8">
      <c r="A9" s="4"/>
      <c r="B9" t="s">
        <v>17</v>
      </c>
      <c r="C9">
        <v>1044</v>
      </c>
      <c r="D9">
        <v>87</v>
      </c>
      <c r="E9">
        <v>13057.2</v>
      </c>
      <c r="F9">
        <v>1.1</v>
      </c>
      <c r="G9">
        <f t="shared" si="0"/>
        <v>11870.1818181818</v>
      </c>
    </row>
    <row r="10" customFormat="1" spans="1:8">
      <c r="A10" s="5" t="s">
        <v>35</v>
      </c>
      <c r="C10">
        <v>1008</v>
      </c>
      <c r="D10">
        <v>84</v>
      </c>
      <c r="E10">
        <v>20139.84</v>
      </c>
      <c r="F10">
        <v>1.1</v>
      </c>
      <c r="G10">
        <f t="shared" si="0"/>
        <v>18308.9454545455</v>
      </c>
    </row>
    <row r="11" customFormat="1" spans="1:8">
      <c r="A11" s="5"/>
      <c r="B11" t="s">
        <v>17</v>
      </c>
      <c r="C11">
        <v>1008</v>
      </c>
      <c r="D11">
        <v>84</v>
      </c>
      <c r="E11">
        <v>20139.84</v>
      </c>
      <c r="F11">
        <v>1.1</v>
      </c>
      <c r="G11">
        <f t="shared" si="0"/>
        <v>18308.9454545455</v>
      </c>
    </row>
    <row r="12" customFormat="1" spans="1:8">
      <c r="A12" s="4" t="s">
        <v>36</v>
      </c>
      <c r="C12">
        <v>120</v>
      </c>
      <c r="D12">
        <v>10</v>
      </c>
      <c r="E12">
        <v>1684.8</v>
      </c>
      <c r="F12">
        <v>1.1</v>
      </c>
      <c r="G12">
        <f t="shared" si="0"/>
        <v>1531.63636363636</v>
      </c>
    </row>
    <row r="13" customFormat="1" spans="1:8">
      <c r="A13" s="4"/>
      <c r="B13" t="s">
        <v>17</v>
      </c>
      <c r="C13">
        <v>120</v>
      </c>
      <c r="D13">
        <v>10</v>
      </c>
      <c r="E13">
        <v>1684.8</v>
      </c>
      <c r="F13">
        <v>1.1</v>
      </c>
      <c r="G13">
        <f t="shared" si="0"/>
        <v>1531.63636363636</v>
      </c>
    </row>
    <row r="14" customFormat="1" spans="1:8">
      <c r="A14" s="5" t="s">
        <v>37</v>
      </c>
      <c r="C14">
        <v>120</v>
      </c>
      <c r="D14">
        <v>10</v>
      </c>
      <c r="E14">
        <v>2073.6</v>
      </c>
      <c r="F14">
        <v>1.1</v>
      </c>
      <c r="G14">
        <f t="shared" si="0"/>
        <v>1885.09090909091</v>
      </c>
    </row>
    <row r="15" customFormat="1" spans="1:8">
      <c r="A15" s="5"/>
      <c r="B15" t="s">
        <v>17</v>
      </c>
      <c r="C15">
        <v>120</v>
      </c>
      <c r="D15">
        <v>10</v>
      </c>
      <c r="E15">
        <v>2073.6</v>
      </c>
      <c r="F15">
        <v>1.1</v>
      </c>
      <c r="G15">
        <f t="shared" si="0"/>
        <v>1885.09090909091</v>
      </c>
    </row>
    <row r="16" customFormat="1" spans="1:8">
      <c r="A16" s="5" t="s">
        <v>38</v>
      </c>
      <c r="C16">
        <v>240</v>
      </c>
      <c r="D16">
        <v>20</v>
      </c>
      <c r="E16">
        <v>5002.56</v>
      </c>
      <c r="F16">
        <v>1.1</v>
      </c>
      <c r="G16">
        <f t="shared" si="0"/>
        <v>4547.78181818182</v>
      </c>
    </row>
    <row r="17" customFormat="1" spans="1:8">
      <c r="A17" s="5"/>
      <c r="B17" t="s">
        <v>17</v>
      </c>
      <c r="C17">
        <v>240</v>
      </c>
      <c r="D17">
        <v>20</v>
      </c>
      <c r="E17">
        <v>5002.56</v>
      </c>
      <c r="F17">
        <v>1.1</v>
      </c>
      <c r="G17">
        <f t="shared" si="0"/>
        <v>4547.78181818182</v>
      </c>
    </row>
    <row r="18" customFormat="1" spans="1:8">
      <c r="A18" s="5" t="s">
        <v>39</v>
      </c>
      <c r="C18">
        <v>2760</v>
      </c>
      <c r="D18">
        <v>230</v>
      </c>
      <c r="E18">
        <v>45606.24</v>
      </c>
      <c r="F18">
        <v>1.1</v>
      </c>
      <c r="G18">
        <f t="shared" si="0"/>
        <v>41460.2181818182</v>
      </c>
    </row>
    <row r="19" customFormat="1" spans="1:8">
      <c r="A19" s="5"/>
      <c r="B19" t="s">
        <v>17</v>
      </c>
      <c r="C19">
        <v>2760</v>
      </c>
      <c r="D19">
        <v>230</v>
      </c>
      <c r="E19">
        <v>45606.24</v>
      </c>
      <c r="F19">
        <v>1.1</v>
      </c>
      <c r="G19">
        <f t="shared" si="0"/>
        <v>41460.2181818182</v>
      </c>
    </row>
    <row r="20" customFormat="1" spans="1:8">
      <c r="A20" s="5" t="s">
        <v>40</v>
      </c>
      <c r="C20">
        <v>3120</v>
      </c>
      <c r="D20">
        <v>260</v>
      </c>
      <c r="E20">
        <v>63011.52</v>
      </c>
      <c r="F20">
        <v>1.1</v>
      </c>
      <c r="G20">
        <f t="shared" si="0"/>
        <v>57283.2</v>
      </c>
    </row>
    <row r="21" spans="1:8">
      <c r="A21" s="5"/>
      <c r="B21" t="s">
        <v>17</v>
      </c>
      <c r="C21">
        <v>3120</v>
      </c>
      <c r="D21">
        <v>260</v>
      </c>
      <c r="E21">
        <v>63011.52</v>
      </c>
      <c r="F21">
        <v>1.1</v>
      </c>
      <c r="G21">
        <f t="shared" si="0"/>
        <v>57283.2</v>
      </c>
    </row>
    <row r="22" spans="1:8">
      <c r="A22" s="5" t="s">
        <v>41</v>
      </c>
      <c r="C22">
        <v>26976</v>
      </c>
      <c r="D22">
        <v>2303</v>
      </c>
      <c r="E22">
        <v>441380.712</v>
      </c>
      <c r="F22">
        <v>1.1</v>
      </c>
      <c r="G22">
        <f t="shared" si="0"/>
        <v>401255.192727273</v>
      </c>
      <c r="H22">
        <f>E22-G22</f>
        <v>40125.5192727273</v>
      </c>
    </row>
    <row r="23" spans="1:8">
      <c r="A23" s="5"/>
    </row>
    <row r="24" spans="1:8">
      <c r="A24" s="5"/>
    </row>
    <row r="25" spans="1:8">
      <c r="A25" s="4"/>
    </row>
    <row r="26" spans="1:8">
      <c r="A26" s="4"/>
    </row>
    <row r="27" spans="1:8">
      <c r="A27" s="4"/>
    </row>
    <row r="28" spans="1:8">
      <c r="A28" s="4"/>
    </row>
    <row r="29" spans="1:8">
      <c r="A29" s="4"/>
    </row>
    <row r="30" spans="1:8">
      <c r="A30" s="4"/>
    </row>
    <row r="31" spans="1:8">
      <c r="A31" s="4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O186"/>
  <sheetViews>
    <sheetView tabSelected="1" zoomScale="130" zoomScaleNormal="130" workbookViewId="0">
      <selection activeCell="F4" sqref="F4"/>
    </sheetView>
  </sheetViews>
  <sheetFormatPr defaultColWidth="8.72727272727273" defaultRowHeight="14"/>
  <cols>
    <col min="1" max="1" width="37.6363636363636" style="1" customWidth="1"/>
    <col min="2" max="2" width="17.3636363636364" style="1" customWidth="1"/>
    <col min="3" max="3" width="12.9090909090909" style="1" customWidth="1"/>
    <col min="4" max="4" width="17.3636363636364" style="1" customWidth="1"/>
    <col min="5" max="5" width="12.8181818181818" style="1" customWidth="1"/>
    <col min="6" max="6" width="7.54545454545455" style="1" customWidth="1"/>
    <col min="7" max="7" width="11.7272727272727" style="1" customWidth="1"/>
    <col min="8" max="8" width="11.8181818181818" style="1" customWidth="1"/>
    <col min="9" max="9" width="8.72727272727273" style="1"/>
    <col min="10" max="10" width="10.6363636363636" style="1"/>
    <col min="11" max="13" width="8.72727272727273" style="1"/>
    <col min="14" max="14" width="37.6363636363636" style="1" customWidth="1"/>
    <col min="15" max="16384" width="8.72727272727273" style="1"/>
  </cols>
  <sheetData>
    <row r="3" s="1" customFormat="1" spans="1:15">
      <c r="A3" s="2" t="s">
        <v>3</v>
      </c>
      <c r="B3" s="2" t="s">
        <v>26</v>
      </c>
      <c r="C3" s="2" t="s">
        <v>27</v>
      </c>
      <c r="D3" s="2" t="s">
        <v>28</v>
      </c>
      <c r="E3" s="2" t="s">
        <v>484</v>
      </c>
      <c r="F3" s="2" t="s">
        <v>29</v>
      </c>
      <c r="G3" s="2" t="s">
        <v>30</v>
      </c>
      <c r="H3" s="2" t="s">
        <v>31</v>
      </c>
      <c r="N3" s="1" t="s">
        <v>34</v>
      </c>
      <c r="O3" s="1">
        <v>6.464795</v>
      </c>
    </row>
    <row r="4" s="1" customFormat="1" spans="1:15">
      <c r="A4" s="1" t="s">
        <v>15</v>
      </c>
      <c r="B4" s="1">
        <v>112751</v>
      </c>
      <c r="C4" s="1">
        <v>9390</v>
      </c>
      <c r="D4" s="1">
        <v>1372472.1</v>
      </c>
      <c r="E4" s="1">
        <f>D4/B4</f>
        <v>12.1725935911877</v>
      </c>
      <c r="F4" s="1">
        <f>IFERROR(VLOOKUP(A4,$N:$O,2,0),0)</f>
        <v>9.132095</v>
      </c>
      <c r="G4" s="1">
        <f t="shared" ref="G4:G11" si="0">F4*B4</f>
        <v>1029652.843345</v>
      </c>
      <c r="H4" s="1">
        <f t="shared" ref="H4:H11" si="1">D4-G4</f>
        <v>342819.256655</v>
      </c>
    </row>
    <row r="5" s="1" customFormat="1" spans="1:15">
      <c r="A5" s="1" t="s">
        <v>32</v>
      </c>
      <c r="B5" s="1">
        <v>11512</v>
      </c>
      <c r="C5" s="1">
        <v>1015</v>
      </c>
      <c r="D5" s="1">
        <v>185732.352</v>
      </c>
      <c r="E5" s="1">
        <f t="shared" ref="E4:E11" si="2">D5/B5</f>
        <v>16.1338040305768</v>
      </c>
      <c r="F5" s="1">
        <f t="shared" ref="F5:F22" si="3">IFERROR(VLOOKUP(A5,$N:$O,2,0),0)</f>
        <v>10.61254167</v>
      </c>
      <c r="G5" s="1">
        <f t="shared" si="0"/>
        <v>122171.57970504</v>
      </c>
      <c r="H5" s="1">
        <f t="shared" si="1"/>
        <v>63560.77229496</v>
      </c>
    </row>
    <row r="6" s="1" customFormat="1" spans="1:15">
      <c r="A6" s="1" t="s">
        <v>33</v>
      </c>
      <c r="B6" s="1">
        <v>42907</v>
      </c>
      <c r="C6" s="1">
        <v>3570</v>
      </c>
      <c r="D6" s="1">
        <v>650646</v>
      </c>
      <c r="E6" s="1">
        <f t="shared" si="2"/>
        <v>15.1640990980493</v>
      </c>
      <c r="F6" s="1">
        <f t="shared" si="3"/>
        <v>10.92314167</v>
      </c>
      <c r="G6" s="1">
        <f t="shared" si="0"/>
        <v>468679.23963469</v>
      </c>
      <c r="H6" s="1">
        <f t="shared" si="1"/>
        <v>181966.76036531</v>
      </c>
    </row>
    <row r="7" s="1" customFormat="1" spans="1:15">
      <c r="A7" s="1" t="s">
        <v>34</v>
      </c>
      <c r="B7" s="1">
        <v>20892</v>
      </c>
      <c r="C7" s="1">
        <v>1741</v>
      </c>
      <c r="D7" s="1">
        <v>213822</v>
      </c>
      <c r="E7" s="1">
        <f t="shared" si="2"/>
        <v>10.2346352670879</v>
      </c>
      <c r="F7" s="1">
        <f t="shared" si="3"/>
        <v>6.464795</v>
      </c>
      <c r="G7" s="1">
        <f t="shared" si="0"/>
        <v>135062.49714</v>
      </c>
      <c r="H7" s="1">
        <f t="shared" si="1"/>
        <v>78759.50286</v>
      </c>
    </row>
    <row r="8" s="1" customFormat="1" spans="1:15">
      <c r="A8" s="1" t="s">
        <v>35</v>
      </c>
      <c r="B8" s="1">
        <v>2100</v>
      </c>
      <c r="C8" s="1">
        <v>175</v>
      </c>
      <c r="D8" s="1">
        <v>39117.84</v>
      </c>
      <c r="E8" s="1">
        <f t="shared" si="2"/>
        <v>18.6275428571429</v>
      </c>
      <c r="F8" s="1">
        <f t="shared" si="3"/>
        <v>12.20698167</v>
      </c>
      <c r="G8" s="1">
        <f t="shared" si="0"/>
        <v>25634.661507</v>
      </c>
      <c r="H8" s="1">
        <f t="shared" si="1"/>
        <v>13483.178493</v>
      </c>
    </row>
    <row r="9" s="1" customFormat="1" spans="1:15">
      <c r="A9" s="1" t="s">
        <v>50</v>
      </c>
      <c r="B9" s="1">
        <v>4944</v>
      </c>
      <c r="C9" s="1">
        <v>412</v>
      </c>
      <c r="D9" s="1">
        <v>87474</v>
      </c>
      <c r="E9" s="1">
        <f t="shared" si="2"/>
        <v>17.6929611650485</v>
      </c>
      <c r="F9" s="1">
        <f t="shared" si="3"/>
        <v>12.20210167</v>
      </c>
      <c r="G9" s="1">
        <f t="shared" si="0"/>
        <v>60327.19065648</v>
      </c>
      <c r="H9" s="1">
        <f t="shared" si="1"/>
        <v>27146.80934352</v>
      </c>
    </row>
    <row r="10" s="1" customFormat="1" spans="1:15">
      <c r="A10" s="1" t="s">
        <v>53</v>
      </c>
      <c r="B10" s="1">
        <v>1056</v>
      </c>
      <c r="C10" s="1">
        <v>88</v>
      </c>
      <c r="D10" s="1">
        <v>13928</v>
      </c>
      <c r="E10" s="1">
        <f t="shared" si="2"/>
        <v>13.1893939393939</v>
      </c>
      <c r="F10" s="1">
        <v>9.13</v>
      </c>
      <c r="G10" s="1">
        <f t="shared" si="0"/>
        <v>9641.28</v>
      </c>
      <c r="H10" s="1">
        <f t="shared" si="1"/>
        <v>4286.72</v>
      </c>
    </row>
    <row r="11" s="1" customFormat="1" spans="1:15">
      <c r="A11" s="1" t="s">
        <v>69</v>
      </c>
      <c r="B11" s="1">
        <v>84</v>
      </c>
      <c r="C11" s="1">
        <v>7</v>
      </c>
      <c r="D11" s="1">
        <v>1488</v>
      </c>
      <c r="E11" s="1">
        <f t="shared" si="2"/>
        <v>17.7142857142857</v>
      </c>
      <c r="F11" s="1">
        <v>10.62</v>
      </c>
      <c r="G11" s="1">
        <f t="shared" si="0"/>
        <v>892.08</v>
      </c>
      <c r="H11" s="1">
        <f t="shared" si="1"/>
        <v>595.92</v>
      </c>
    </row>
    <row r="12" s="1" customFormat="1" spans="1:15">
      <c r="A12" s="1" t="s">
        <v>370</v>
      </c>
      <c r="B12" s="1">
        <v>588</v>
      </c>
      <c r="C12" s="1">
        <v>49</v>
      </c>
      <c r="D12" s="1">
        <v>20580</v>
      </c>
      <c r="E12" s="1">
        <f t="shared" ref="E12:E22" si="4">D12/B12</f>
        <v>35</v>
      </c>
      <c r="F12" s="1">
        <v>25</v>
      </c>
      <c r="G12" s="1">
        <f t="shared" ref="G12:G22" si="5">F12*B12</f>
        <v>14700</v>
      </c>
      <c r="H12" s="1">
        <f t="shared" ref="H12:H22" si="6">D12-G12</f>
        <v>5880</v>
      </c>
    </row>
    <row r="13" s="1" customFormat="1" spans="1:15">
      <c r="A13" s="1" t="s">
        <v>51</v>
      </c>
      <c r="B13" s="1">
        <v>312</v>
      </c>
      <c r="C13" s="1">
        <v>26</v>
      </c>
      <c r="D13" s="1">
        <v>3878.4</v>
      </c>
      <c r="E13" s="1">
        <f t="shared" si="4"/>
        <v>12.4307692307692</v>
      </c>
      <c r="F13" s="1">
        <f t="shared" si="3"/>
        <v>8.645150333</v>
      </c>
      <c r="G13" s="1">
        <f t="shared" si="5"/>
        <v>2697.286903896</v>
      </c>
      <c r="H13" s="1">
        <f t="shared" si="6"/>
        <v>1181.113096104</v>
      </c>
      <c r="N13" s="1" t="s">
        <v>15</v>
      </c>
      <c r="O13" s="1">
        <v>9.132095</v>
      </c>
    </row>
    <row r="14" s="1" customFormat="1" spans="1:15">
      <c r="A14" s="1" t="s">
        <v>36</v>
      </c>
      <c r="B14" s="1">
        <v>120</v>
      </c>
      <c r="C14" s="1">
        <v>10</v>
      </c>
      <c r="D14" s="1">
        <v>1684.8</v>
      </c>
      <c r="E14" s="1">
        <f t="shared" si="4"/>
        <v>14.04</v>
      </c>
      <c r="F14" s="1">
        <f t="shared" si="3"/>
        <v>8.886550333</v>
      </c>
      <c r="G14" s="1">
        <f t="shared" si="5"/>
        <v>1066.38603996</v>
      </c>
      <c r="H14" s="1">
        <f t="shared" si="6"/>
        <v>618.41396004</v>
      </c>
    </row>
    <row r="15" s="1" customFormat="1" spans="1:15">
      <c r="A15" s="1" t="s">
        <v>48</v>
      </c>
      <c r="B15" s="1">
        <v>3972</v>
      </c>
      <c r="C15" s="1">
        <v>331</v>
      </c>
      <c r="D15" s="1">
        <v>66306</v>
      </c>
      <c r="E15" s="1">
        <f t="shared" si="4"/>
        <v>16.6933534743202</v>
      </c>
      <c r="F15" s="1">
        <f t="shared" si="3"/>
        <v>11.44313217</v>
      </c>
      <c r="G15" s="1">
        <f t="shared" si="5"/>
        <v>45452.12097924</v>
      </c>
      <c r="H15" s="1">
        <f t="shared" si="6"/>
        <v>20853.87902076</v>
      </c>
    </row>
    <row r="16" s="1" customFormat="1" spans="1:15">
      <c r="A16" s="1" t="s">
        <v>37</v>
      </c>
      <c r="B16" s="1">
        <v>120</v>
      </c>
      <c r="C16" s="1">
        <v>10</v>
      </c>
      <c r="D16" s="1">
        <v>2073.6</v>
      </c>
      <c r="E16" s="1">
        <f t="shared" si="4"/>
        <v>17.28</v>
      </c>
      <c r="F16" s="1">
        <f t="shared" si="3"/>
        <v>11.76953217</v>
      </c>
      <c r="G16" s="1">
        <f t="shared" si="5"/>
        <v>1412.3438604</v>
      </c>
      <c r="H16" s="1">
        <f t="shared" si="6"/>
        <v>661.2561396</v>
      </c>
    </row>
    <row r="17" s="1" customFormat="1" spans="1:15">
      <c r="A17" s="1" t="s">
        <v>95</v>
      </c>
      <c r="B17" s="1">
        <v>1494</v>
      </c>
      <c r="C17" s="1">
        <v>122</v>
      </c>
      <c r="D17" s="1">
        <v>27628.2</v>
      </c>
      <c r="E17" s="1">
        <f t="shared" si="4"/>
        <v>18.4927710843373</v>
      </c>
      <c r="F17" s="1">
        <f t="shared" si="3"/>
        <v>14.181114</v>
      </c>
      <c r="G17" s="1">
        <f t="shared" si="5"/>
        <v>21186.584316</v>
      </c>
      <c r="H17" s="1">
        <f t="shared" si="6"/>
        <v>6441.615684</v>
      </c>
    </row>
    <row r="18" s="1" customFormat="1" spans="1:15">
      <c r="A18" s="1" t="s">
        <v>38</v>
      </c>
      <c r="B18" s="1">
        <v>240</v>
      </c>
      <c r="C18" s="1">
        <v>20</v>
      </c>
      <c r="D18" s="1">
        <v>5002.56</v>
      </c>
      <c r="E18" s="1">
        <f t="shared" si="4"/>
        <v>20.844</v>
      </c>
      <c r="F18" s="1">
        <f t="shared" si="3"/>
        <v>14.577514</v>
      </c>
      <c r="G18" s="1">
        <f t="shared" si="5"/>
        <v>3498.60336</v>
      </c>
      <c r="H18" s="1">
        <f t="shared" si="6"/>
        <v>1503.95664</v>
      </c>
    </row>
    <row r="19" s="1" customFormat="1" spans="1:15">
      <c r="A19" s="1" t="s">
        <v>300</v>
      </c>
      <c r="B19" s="1">
        <v>636</v>
      </c>
      <c r="C19" s="1">
        <v>51</v>
      </c>
      <c r="D19" s="1">
        <v>4960.8</v>
      </c>
      <c r="E19" s="1">
        <f t="shared" si="4"/>
        <v>7.8</v>
      </c>
      <c r="F19" s="1">
        <f t="shared" si="3"/>
        <v>5.852</v>
      </c>
      <c r="G19" s="1">
        <f t="shared" si="5"/>
        <v>3721.872</v>
      </c>
      <c r="H19" s="1">
        <f t="shared" si="6"/>
        <v>1238.928</v>
      </c>
    </row>
    <row r="20" s="1" customFormat="1" spans="1:15">
      <c r="A20" s="1" t="s">
        <v>44</v>
      </c>
      <c r="B20" s="1">
        <v>4428</v>
      </c>
      <c r="C20" s="1">
        <v>369</v>
      </c>
      <c r="D20" s="1">
        <v>54177.6</v>
      </c>
      <c r="E20" s="1">
        <f t="shared" si="4"/>
        <v>12.2352303523035</v>
      </c>
      <c r="F20" s="1">
        <f t="shared" si="3"/>
        <v>8.421933333</v>
      </c>
      <c r="G20" s="1">
        <f t="shared" si="5"/>
        <v>37292.320798524</v>
      </c>
      <c r="H20" s="1">
        <f t="shared" si="6"/>
        <v>16885.279201476</v>
      </c>
    </row>
    <row r="21" s="1" customFormat="1" spans="1:15">
      <c r="A21" s="1" t="s">
        <v>39</v>
      </c>
      <c r="B21" s="1">
        <v>9492</v>
      </c>
      <c r="C21" s="1">
        <v>791</v>
      </c>
      <c r="D21" s="1">
        <v>147395.04</v>
      </c>
      <c r="E21" s="1">
        <f t="shared" si="4"/>
        <v>15.5283438685209</v>
      </c>
      <c r="F21" s="1">
        <f t="shared" si="3"/>
        <v>11.07186667</v>
      </c>
      <c r="G21" s="1">
        <f t="shared" si="5"/>
        <v>105094.15843164</v>
      </c>
      <c r="H21" s="1">
        <f t="shared" si="6"/>
        <v>42300.88156836</v>
      </c>
    </row>
    <row r="22" s="1" customFormat="1" spans="1:15">
      <c r="A22" s="1" t="s">
        <v>40</v>
      </c>
      <c r="B22" s="1">
        <v>12446</v>
      </c>
      <c r="C22" s="1">
        <v>1015</v>
      </c>
      <c r="D22" s="1">
        <v>230127.72</v>
      </c>
      <c r="E22" s="1">
        <f t="shared" si="4"/>
        <v>18.4900948095774</v>
      </c>
      <c r="F22" s="1">
        <f t="shared" si="3"/>
        <v>13.6618</v>
      </c>
      <c r="G22" s="1">
        <f t="shared" si="5"/>
        <v>170034.7628</v>
      </c>
      <c r="H22" s="1">
        <f t="shared" si="6"/>
        <v>60092.9572</v>
      </c>
    </row>
    <row r="23" s="1" customFormat="1" spans="1:15">
      <c r="A23" s="1" t="s">
        <v>485</v>
      </c>
      <c r="N23" s="1" t="s">
        <v>32</v>
      </c>
      <c r="O23" s="1">
        <v>10.61254167</v>
      </c>
    </row>
    <row r="24" s="1" customFormat="1" spans="1:15">
      <c r="A24" s="1" t="s">
        <v>41</v>
      </c>
      <c r="B24" s="1">
        <v>230894</v>
      </c>
      <c r="C24" s="1">
        <v>19259</v>
      </c>
      <c r="D24" s="1">
        <v>3154395.012</v>
      </c>
      <c r="G24" s="1" t="s">
        <v>486</v>
      </c>
      <c r="H24" s="3">
        <f>SUM(H4:H22)</f>
        <v>870277.20052213</v>
      </c>
    </row>
    <row r="27" s="1" customFormat="1" spans="1:15">
      <c r="F27" s="1" t="s">
        <v>487</v>
      </c>
      <c r="G27" s="1">
        <v>25000</v>
      </c>
      <c r="H27" s="3">
        <f>G27*7</f>
        <v>175000</v>
      </c>
    </row>
    <row r="28" s="1" customFormat="1" spans="1:15">
      <c r="F28" s="1" t="s">
        <v>488</v>
      </c>
      <c r="G28" s="1">
        <v>28000</v>
      </c>
      <c r="H28" s="3">
        <f>G28*7</f>
        <v>196000</v>
      </c>
    </row>
    <row r="29" spans="1:15">
      <c r="J29" s="3">
        <v>40125.5192727273</v>
      </c>
    </row>
    <row r="30" s="1" customFormat="1" spans="1:15">
      <c r="G30" s="1" t="s">
        <v>489</v>
      </c>
      <c r="H30" s="3">
        <v>0</v>
      </c>
    </row>
    <row r="31" s="1" customFormat="1" spans="1:15">
      <c r="G31" s="1" t="s">
        <v>490</v>
      </c>
      <c r="H31" s="3">
        <f>H24-H27-H28-H30</f>
        <v>499277.20052213</v>
      </c>
    </row>
    <row r="32" spans="1:15">
      <c r="N32" s="1" t="s">
        <v>35</v>
      </c>
      <c r="O32" s="1">
        <v>12.20698167</v>
      </c>
    </row>
    <row r="41" spans="14:15">
      <c r="N41" s="1" t="s">
        <v>33</v>
      </c>
      <c r="O41" s="1">
        <v>10.92314167</v>
      </c>
    </row>
    <row r="50" spans="14:15">
      <c r="N50" s="1" t="s">
        <v>50</v>
      </c>
      <c r="O50" s="1">
        <v>12.20210167</v>
      </c>
    </row>
    <row r="59" spans="14:15">
      <c r="N59" s="1" t="s">
        <v>494</v>
      </c>
      <c r="O59" s="1">
        <v>1.721146667</v>
      </c>
    </row>
    <row r="68" spans="14:15">
      <c r="N68" s="1" t="s">
        <v>495</v>
      </c>
      <c r="O68" s="1">
        <v>1.721146667</v>
      </c>
    </row>
    <row r="77" spans="14:15">
      <c r="N77" s="1" t="s">
        <v>496</v>
      </c>
      <c r="O77" s="1">
        <v>1.721146667</v>
      </c>
    </row>
    <row r="86" spans="14:15">
      <c r="O86" s="1" t="s">
        <v>497</v>
      </c>
    </row>
    <row r="87" spans="14:15">
      <c r="N87" s="1" t="s">
        <v>300</v>
      </c>
      <c r="O87" s="1">
        <v>5.852</v>
      </c>
    </row>
    <row r="96" spans="14:15">
      <c r="N96" s="1" t="s">
        <v>44</v>
      </c>
      <c r="O96" s="1">
        <v>8.421933333</v>
      </c>
    </row>
    <row r="105" spans="14:15">
      <c r="N105" s="1" t="s">
        <v>39</v>
      </c>
      <c r="O105" s="1">
        <v>11.07186667</v>
      </c>
    </row>
    <row r="114" spans="14:15">
      <c r="N114" s="1" t="s">
        <v>40</v>
      </c>
      <c r="O114" s="1">
        <v>13.6618</v>
      </c>
    </row>
    <row r="123" spans="14:15">
      <c r="N123" s="1" t="s">
        <v>498</v>
      </c>
      <c r="O123" s="1">
        <v>5.9271685</v>
      </c>
    </row>
    <row r="132" spans="14:15">
      <c r="N132" s="1" t="s">
        <v>499</v>
      </c>
      <c r="O132" s="1">
        <v>5.8335685</v>
      </c>
    </row>
    <row r="141" spans="14:15">
      <c r="N141" s="1" t="s">
        <v>51</v>
      </c>
      <c r="O141" s="1">
        <v>8.645150333</v>
      </c>
    </row>
    <row r="150" spans="14:15">
      <c r="N150" s="1" t="s">
        <v>36</v>
      </c>
      <c r="O150" s="1">
        <v>8.886550333</v>
      </c>
    </row>
    <row r="159" spans="14:15">
      <c r="N159" s="1" t="s">
        <v>48</v>
      </c>
      <c r="O159" s="1">
        <v>11.44313217</v>
      </c>
    </row>
    <row r="168" spans="14:15">
      <c r="N168" s="1" t="s">
        <v>37</v>
      </c>
      <c r="O168" s="1">
        <v>11.76953217</v>
      </c>
    </row>
    <row r="177" spans="14:15">
      <c r="N177" s="1" t="s">
        <v>95</v>
      </c>
      <c r="O177" s="1">
        <v>14.181114</v>
      </c>
    </row>
    <row r="186" spans="14:15">
      <c r="N186" s="1" t="s">
        <v>38</v>
      </c>
      <c r="O186" s="1">
        <v>14.577514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Sheet7</vt:lpstr>
      <vt:lpstr>Sheet4</vt:lpstr>
      <vt:lpstr>Sheet1</vt:lpstr>
      <vt:lpstr>Sheet6</vt:lpstr>
      <vt:lpstr>扣去税费汇总计算</vt:lpstr>
      <vt:lpstr>Sheet10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Mayn</dc:creator>
  <cp:lastModifiedBy>S    Y      R</cp:lastModifiedBy>
  <dcterms:created xsi:type="dcterms:W3CDTF">2026-08-18T06:57:00Z</dcterms:created>
  <dcterms:modified xsi:type="dcterms:W3CDTF">2026-08-21T07:30:45Z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A67ADC7E332949A9AAD837CB3B352209_11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
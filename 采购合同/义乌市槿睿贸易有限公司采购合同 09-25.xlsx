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<sst xmlns="http://schemas.openxmlformats.org/spreadsheetml/2006/main" count="33" uniqueCount="32">
  <si>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永康市欧硕工贸有限公司</t>
  </si>
  <si>
    <t xml:space="preserve">YONGKANG OUSHUO METAL PEN &amp; PAPER STAND FACTORY </t>
  </si>
  <si>
    <r>
      <rPr>
        <sz val="10"/>
        <rFont val="宋体"/>
        <charset val="134"/>
      </rPr>
      <t>浙江省永康市龙山镇溪田村上宅</t>
    </r>
    <r>
      <rPr>
        <sz val="10"/>
        <rFont val="Arial"/>
        <charset val="134"/>
      </rPr>
      <t>65</t>
    </r>
    <r>
      <rPr>
        <sz val="10"/>
        <rFont val="宋体"/>
        <charset val="134"/>
      </rPr>
      <t>号</t>
    </r>
  </si>
  <si>
    <t>NO.65, SHANGZHAI, XITIAN VILLAGE, LONGSHAN TOWN, YONGKANG CITY, ZHEJIANG PROVINCE</t>
  </si>
  <si>
    <t>TEL:13967924123</t>
  </si>
  <si>
    <t>PROFORMA  INVOICE</t>
  </si>
  <si>
    <r>
      <t>购买方</t>
    </r>
    <r>
      <rPr>
        <sz val="12"/>
        <rFont val="Arial"/>
        <charset val="134"/>
      </rPr>
      <t>Buyer:</t>
    </r>
    <r>
      <rPr>
        <sz val="12"/>
        <rFont val="宋体"/>
        <charset val="134"/>
      </rPr>
      <t>义乌市槿睿贸易有限公司</t>
    </r>
  </si>
  <si>
    <r>
      <rPr>
        <sz val="12"/>
        <rFont val="宋体"/>
        <charset val="134"/>
      </rPr>
      <t>合同编号</t>
    </r>
    <r>
      <rPr>
        <sz val="12"/>
        <rFont val="Arial"/>
        <charset val="134"/>
      </rPr>
      <t>P/I NO.</t>
    </r>
  </si>
  <si>
    <t>OS20250925</t>
  </si>
  <si>
    <r>
      <rPr>
        <sz val="12"/>
        <rFont val="宋体"/>
        <charset val="134"/>
      </rPr>
      <t>日期</t>
    </r>
    <r>
      <rPr>
        <sz val="12"/>
        <rFont val="Arial"/>
        <charset val="134"/>
      </rPr>
      <t>DATE</t>
    </r>
  </si>
  <si>
    <r>
      <rPr>
        <sz val="10"/>
        <rFont val="宋体"/>
        <charset val="134"/>
      </rPr>
      <t>品名</t>
    </r>
    <r>
      <rPr>
        <sz val="10"/>
        <rFont val="Arial"/>
        <charset val="134"/>
      </rPr>
      <t>DESC.</t>
    </r>
  </si>
  <si>
    <r>
      <rPr>
        <sz val="10"/>
        <rFont val="宋体"/>
        <charset val="134"/>
      </rPr>
      <t>规格</t>
    </r>
    <r>
      <rPr>
        <sz val="10"/>
        <rFont val="Arial"/>
        <charset val="134"/>
      </rPr>
      <t>SIZE</t>
    </r>
  </si>
  <si>
    <r>
      <rPr>
        <sz val="10"/>
        <rFont val="宋体"/>
        <charset val="134"/>
      </rPr>
      <t>箱数</t>
    </r>
    <r>
      <rPr>
        <sz val="10"/>
        <rFont val="Arial"/>
        <charset val="134"/>
      </rPr>
      <t>CTN</t>
    </r>
  </si>
  <si>
    <r>
      <rPr>
        <sz val="10"/>
        <rFont val="宋体"/>
        <charset val="134"/>
      </rPr>
      <t>装箱量</t>
    </r>
    <r>
      <rPr>
        <sz val="10"/>
        <rFont val="Arial"/>
        <charset val="134"/>
      </rPr>
      <t>PCS/CTN</t>
    </r>
  </si>
  <si>
    <r>
      <rPr>
        <b/>
        <sz val="10"/>
        <rFont val="宋体"/>
        <charset val="134"/>
      </rPr>
      <t>义乌交货价含税</t>
    </r>
    <r>
      <rPr>
        <b/>
        <sz val="10"/>
        <rFont val="Arial"/>
        <charset val="134"/>
      </rPr>
      <t xml:space="preserve">
</t>
    </r>
    <r>
      <rPr>
        <b/>
        <sz val="10"/>
        <rFont val="宋体"/>
        <charset val="134"/>
      </rPr>
      <t xml:space="preserve">YIWU </t>
    </r>
    <r>
      <rPr>
        <b/>
        <sz val="10"/>
        <rFont val="Arial"/>
        <charset val="134"/>
      </rPr>
      <t>PRICE
tax-inclusive</t>
    </r>
  </si>
  <si>
    <r>
      <rPr>
        <sz val="10"/>
        <rFont val="宋体"/>
        <charset val="134"/>
      </rPr>
      <t>金额</t>
    </r>
    <r>
      <rPr>
        <sz val="10"/>
        <rFont val="Arial"/>
        <charset val="134"/>
      </rPr>
      <t>TOTAL AMOUNT</t>
    </r>
  </si>
  <si>
    <r>
      <t xml:space="preserve">METAL PAPER RACK 3 Tray
with blister
</t>
    </r>
    <r>
      <rPr>
        <sz val="10"/>
        <color rgb="FF000000"/>
        <rFont val="宋体"/>
        <charset val="134"/>
      </rPr>
      <t>三层文件夹带吸塑</t>
    </r>
  </si>
  <si>
    <t>29*35*27.5cm</t>
  </si>
  <si>
    <r>
      <t xml:space="preserve">METAL PAPER RACK 4 Tray
with blister
</t>
    </r>
    <r>
      <rPr>
        <sz val="10"/>
        <color rgb="FF000000"/>
        <rFont val="宋体"/>
        <charset val="134"/>
      </rPr>
      <t>四层文件夹带吸塑</t>
    </r>
  </si>
  <si>
    <t>29.5*35*38</t>
  </si>
  <si>
    <t>29.5*32.7*31</t>
  </si>
  <si>
    <r>
      <rPr>
        <sz val="10"/>
        <rFont val="宋体"/>
        <charset val="134"/>
      </rPr>
      <t>总计</t>
    </r>
    <r>
      <rPr>
        <sz val="10"/>
        <rFont val="Arial"/>
        <charset val="134"/>
      </rPr>
      <t>TOTAL</t>
    </r>
  </si>
  <si>
    <r>
      <rPr>
        <b/>
        <sz val="12"/>
        <rFont val="宋体"/>
        <charset val="134"/>
      </rPr>
      <t>合同条款：</t>
    </r>
  </si>
  <si>
    <t>1)付款方式PAYMENT：</t>
  </si>
  <si>
    <r>
      <rPr>
        <sz val="12"/>
        <rFont val="宋体"/>
        <charset val="134"/>
      </rPr>
      <t xml:space="preserve">订金10000 </t>
    </r>
    <r>
      <rPr>
        <sz val="12"/>
        <rFont val="Arial"/>
        <charset val="134"/>
      </rPr>
      <t xml:space="preserve"> </t>
    </r>
    <r>
      <rPr>
        <sz val="12"/>
        <rFont val="宋体"/>
        <charset val="134"/>
      </rPr>
      <t>交货前全款付清</t>
    </r>
  </si>
  <si>
    <t>2)交货时间DELIVERY TIME:</t>
  </si>
  <si>
    <t>2025年10月10号</t>
  </si>
  <si>
    <t xml:space="preserve">3)交货地点WAREHOUSE： </t>
  </si>
  <si>
    <t>义乌</t>
  </si>
  <si>
    <t>4)收款账号Beneficiary:</t>
  </si>
  <si>
    <t>公司名称：永康市欧硕工贸有限公司
纳税人识别号：91330784MA2JWMAH56
公司地址：浙江省金华市永康市龙山镇溪田村上宅65号
电话：13967924123
开户行及账号：浙江永康农村商业银行股份有限公司龙山支行 201000329048151</t>
  </si>
  <si>
    <t>5)正側2面唛头。2 SIDES SHIPPING MARK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</si>
</sst>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d\-mm\-yyyy"/>
  </numFmts>
  <fonts count="38">
    <font>
      <sz val="12"/>
      <name val="宋体"/>
      <charset val="134"/>
    </font>
    <font>
      <sz val="17"/>
      <name val="Arial"/>
      <charset val="134"/>
    </font>
    <font>
      <sz val="12"/>
      <color indexed="10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12"/>
      <name val="Arial"/>
      <charset val="134"/>
    </font>
    <font>
      <sz val="17"/>
      <name val="宋体"/>
      <charset val="134"/>
    </font>
    <font>
      <sz val="20"/>
      <name val="Arial"/>
      <charset val="134"/>
    </font>
    <font>
      <b/>
      <sz val="20"/>
      <name val="Arial"/>
      <charset val="134"/>
    </font>
    <font>
      <b/>
      <sz val="10"/>
      <name val="宋体"/>
      <charset val="134"/>
    </font>
    <font>
      <sz val="10"/>
      <color rgb="FF000000"/>
      <name val="Arial"/>
      <charset val="134"/>
    </font>
    <font>
      <sz val="10"/>
      <color rgb="FFFF0000"/>
      <name val="Arial"/>
      <charset val="134"/>
    </font>
    <font>
      <b/>
      <sz val="12"/>
      <name val="Arial"/>
      <charset val="134"/>
    </font>
    <font>
      <sz val="10"/>
      <color indexed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  <font>
      <b/>
      <sz val="12"/>
      <name val="宋体"/>
      <charset val="134"/>
    </font>
    <font>
      <b/>
      <sz val="10"/>
      <name val="Arial"/>
      <charset val="134"/>
    </font>
    <font>
      <sz val="10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2" borderId="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8" applyNumberFormat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25" fillId="4" borderId="8" applyNumberFormat="0" applyAlignment="0" applyProtection="0">
      <alignment vertical="center"/>
    </xf>
    <xf numFmtId="0" fontId="26" fillId="5" borderId="10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0" fillId="0" borderId="0">
      <protection locked="0"/>
    </xf>
  </cellStyleXfs>
  <cellXfs count="40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/>
    <xf numFmtId="0" fontId="3" fillId="0" borderId="0" xfId="0" applyFont="1" applyAlignment="1"/>
    <xf numFmtId="0" fontId="4" fillId="0" borderId="0" xfId="0" applyFont="1" applyFill="1" applyAlignment="1"/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/>
    <xf numFmtId="0" fontId="5" fillId="0" borderId="0" xfId="0" applyFont="1" applyFill="1" applyAlignment="1">
      <alignment wrapText="1"/>
    </xf>
    <xf numFmtId="0" fontId="6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left" vertical="center" wrapText="1"/>
    </xf>
    <xf numFmtId="0" fontId="5" fillId="0" borderId="0" xfId="0" applyFont="1" applyFill="1" applyBorder="1" applyAlignment="1"/>
    <xf numFmtId="0" fontId="0" fillId="0" borderId="0" xfId="0" applyFont="1" applyFill="1" applyAlignment="1"/>
    <xf numFmtId="0" fontId="5" fillId="0" borderId="0" xfId="0" applyFont="1" applyFill="1" applyBorder="1" applyAlignment="1">
      <alignment horizontal="left" vertical="center" wrapText="1"/>
    </xf>
    <xf numFmtId="14" fontId="5" fillId="0" borderId="0" xfId="0" applyNumberFormat="1" applyFont="1" applyFill="1" applyBorder="1" applyAlignment="1">
      <alignment wrapText="1"/>
    </xf>
    <xf numFmtId="0" fontId="5" fillId="0" borderId="0" xfId="0" applyFont="1" applyFill="1" applyBorder="1" applyAlignment="1">
      <alignment wrapText="1"/>
    </xf>
    <xf numFmtId="0" fontId="8" fillId="0" borderId="0" xfId="0" applyFont="1" applyFill="1" applyBorder="1" applyAlignment="1">
      <alignment horizontal="left" vertical="center"/>
    </xf>
    <xf numFmtId="176" fontId="5" fillId="0" borderId="0" xfId="0" applyNumberFormat="1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49" applyFont="1" applyFill="1" applyBorder="1" applyAlignment="1" applyProtection="1">
      <alignment horizontal="center" vertical="center" wrapText="1"/>
    </xf>
    <xf numFmtId="0" fontId="3" fillId="0" borderId="2" xfId="49" applyFont="1" applyFill="1" applyBorder="1" applyAlignment="1" applyProtection="1">
      <alignment horizontal="center" vertical="center" wrapText="1"/>
    </xf>
    <xf numFmtId="0" fontId="3" fillId="0" borderId="3" xfId="49" applyFont="1" applyFill="1" applyBorder="1" applyAlignment="1" applyProtection="1">
      <alignment horizontal="center" vertical="center" wrapText="1"/>
    </xf>
    <xf numFmtId="0" fontId="3" fillId="0" borderId="4" xfId="49" applyFont="1" applyFill="1" applyBorder="1" applyAlignment="1" applyProtection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/>
    </xf>
    <xf numFmtId="0" fontId="5" fillId="0" borderId="0" xfId="0" applyFont="1" applyFill="1" applyAlignment="1">
      <alignment horizontal="left"/>
    </xf>
    <xf numFmtId="0" fontId="5" fillId="0" borderId="0" xfId="0" applyFont="1" applyFill="1" applyAlignment="1">
      <alignment horizontal="center"/>
    </xf>
    <xf numFmtId="0" fontId="0" fillId="0" borderId="0" xfId="0" applyFont="1" applyFill="1" applyAlignment="1">
      <alignment horizontal="left" vertical="top" wrapText="1"/>
    </xf>
    <xf numFmtId="0" fontId="5" fillId="0" borderId="0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13" fillId="0" borderId="0" xfId="0" applyFont="1" applyFill="1" applyAlignment="1"/>
    <xf numFmtId="0" fontId="4" fillId="0" borderId="0" xfId="0" applyFont="1" applyFill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3"/>
  <sheetViews>
    <sheetView tabSelected="1" zoomScale="130" zoomScaleNormal="130" workbookViewId="0">
      <selection activeCell="A21" sqref="A21:E21"/>
    </sheetView>
  </sheetViews>
  <sheetFormatPr defaultColWidth="9" defaultRowHeight="15.5"/>
  <cols>
    <col min="1" max="1" width="3.8" style="6" customWidth="1"/>
    <col min="2" max="2" width="24.6" style="7" customWidth="1"/>
    <col min="3" max="3" width="11.9" style="7" customWidth="1"/>
    <col min="4" max="5" width="10.2" style="7" customWidth="1"/>
    <col min="6" max="6" width="16.2" style="7" customWidth="1"/>
    <col min="7" max="8" width="10.2" style="7" customWidth="1"/>
    <col min="9" max="9" width="10.2" style="8" customWidth="1"/>
    <col min="10" max="10" width="14.2" style="8" customWidth="1"/>
    <col min="11" max="12" width="9" style="7"/>
    <col min="13" max="13" width="9.2" style="7" customWidth="1"/>
    <col min="14" max="14" width="11.6" style="7" customWidth="1"/>
    <col min="15" max="16384" width="9" style="7"/>
  </cols>
  <sheetData>
    <row r="1" s="1" customFormat="1" ht="19.95" customHeight="1" spans="1:10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="1" customFormat="1" ht="19.95" customHeight="1" spans="1:10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</row>
    <row r="3" ht="18" customHeight="1" spans="1:10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</row>
    <row r="4" ht="18" customHeight="1" spans="1:10">
      <c r="A4" s="11" t="s">
        <v>3</v>
      </c>
      <c r="B4" s="11"/>
      <c r="C4" s="11"/>
      <c r="D4" s="11"/>
      <c r="E4" s="11"/>
      <c r="F4" s="11"/>
      <c r="G4" s="11"/>
      <c r="H4" s="11"/>
      <c r="I4" s="11"/>
      <c r="J4" s="11"/>
    </row>
    <row r="5" ht="18" customHeight="1" spans="1:10">
      <c r="A5" s="12" t="s">
        <v>4</v>
      </c>
      <c r="B5" s="12"/>
      <c r="C5" s="12"/>
      <c r="D5" s="12"/>
      <c r="E5" s="12"/>
      <c r="F5" s="12"/>
      <c r="G5" s="12"/>
      <c r="H5" s="12"/>
      <c r="I5" s="12"/>
      <c r="J5" s="12"/>
    </row>
    <row r="6" s="2" customFormat="1" ht="31.2" customHeight="1" spans="1:10">
      <c r="A6" s="13" t="s">
        <v>5</v>
      </c>
      <c r="B6" s="13"/>
      <c r="C6" s="13"/>
      <c r="D6" s="13"/>
      <c r="E6" s="13"/>
      <c r="F6" s="13"/>
      <c r="G6" s="13"/>
      <c r="H6" s="13"/>
      <c r="I6" s="13"/>
      <c r="J6" s="13"/>
    </row>
    <row r="7" ht="18" customHeight="1" spans="1:10">
      <c r="A7" s="14" t="s">
        <v>6</v>
      </c>
      <c r="B7" s="14"/>
      <c r="C7" s="14"/>
      <c r="D7" s="14"/>
      <c r="E7" s="15"/>
      <c r="F7" s="15"/>
      <c r="G7" s="15"/>
      <c r="H7" s="16" t="s">
        <v>7</v>
      </c>
      <c r="I7" s="7"/>
      <c r="J7" s="8" t="s">
        <v>8</v>
      </c>
    </row>
    <row r="8" ht="18" customHeight="1" spans="1:10">
      <c r="A8" s="17"/>
      <c r="B8" s="17"/>
      <c r="C8" s="17"/>
      <c r="D8" s="17"/>
      <c r="E8" s="15"/>
      <c r="F8" s="15"/>
      <c r="G8" s="15"/>
      <c r="H8" s="15" t="s">
        <v>9</v>
      </c>
      <c r="I8" s="18">
        <v>45925</v>
      </c>
    </row>
    <row r="9" ht="18" customHeight="1" spans="1:10">
      <c r="A9" s="17"/>
      <c r="B9" s="17"/>
      <c r="C9" s="17"/>
      <c r="D9" s="17"/>
      <c r="E9" s="15"/>
      <c r="F9" s="15"/>
      <c r="G9" s="15"/>
      <c r="H9" s="15"/>
      <c r="I9" s="19"/>
    </row>
    <row r="10" ht="18" customHeight="1" spans="1:10">
      <c r="B10" s="20"/>
      <c r="C10" s="20"/>
      <c r="D10" s="20"/>
      <c r="E10" s="20"/>
      <c r="F10" s="20"/>
      <c r="H10" s="21"/>
      <c r="I10" s="21"/>
      <c r="J10" s="21"/>
    </row>
    <row r="11" s="3" customFormat="1" ht="48.6" customHeight="1" spans="1:10">
      <c r="A11" s="22" t="s">
        <v>10</v>
      </c>
      <c r="B11" s="22"/>
      <c r="C11" s="22" t="s">
        <v>11</v>
      </c>
      <c r="D11" s="22" t="s">
        <v>12</v>
      </c>
      <c r="E11" s="22" t="s">
        <v>13</v>
      </c>
      <c r="F11" s="23" t="s">
        <v>14</v>
      </c>
      <c r="G11" s="22" t="s">
        <v>15</v>
      </c>
    </row>
    <row r="12" s="4" customFormat="1" ht="42" customHeight="1" spans="1:10">
      <c r="A12" s="22">
        <v>1</v>
      </c>
      <c r="B12" s="24" t="s">
        <v>16</v>
      </c>
      <c r="C12" s="25" t="s">
        <v>17</v>
      </c>
      <c r="D12" s="25">
        <v>120</v>
      </c>
      <c r="E12" s="25">
        <v>12</v>
      </c>
      <c r="F12" s="26">
        <f>12.5*1.08</f>
        <v>13.5</v>
      </c>
      <c r="G12" s="27">
        <f>F12*E12*D12</f>
        <v>19440</v>
      </c>
    </row>
    <row r="13" s="3" customFormat="1" ht="42" customHeight="1" spans="1:10">
      <c r="A13" s="27">
        <v>2</v>
      </c>
      <c r="B13" s="24" t="s">
        <v>18</v>
      </c>
      <c r="C13" s="25" t="s">
        <v>19</v>
      </c>
      <c r="D13" s="25">
        <v>120</v>
      </c>
      <c r="E13" s="25">
        <v>12</v>
      </c>
      <c r="F13" s="26">
        <f>15.5*1.08</f>
        <v>16.74</v>
      </c>
      <c r="G13" s="27">
        <f>F13*E13*D13</f>
        <v>24105.6</v>
      </c>
    </row>
    <row r="14" s="3" customFormat="1" ht="42" customHeight="1" spans="1:10">
      <c r="A14" s="27">
        <v>2</v>
      </c>
      <c r="B14" s="24" t="s">
        <v>18</v>
      </c>
      <c r="C14" s="25" t="s">
        <v>20</v>
      </c>
      <c r="D14" s="25">
        <v>124</v>
      </c>
      <c r="E14" s="25">
        <v>12</v>
      </c>
      <c r="F14" s="26">
        <f>18.7*1.08</f>
        <v>20.196</v>
      </c>
      <c r="G14" s="27">
        <f>F14*E14*D14</f>
        <v>30051.648</v>
      </c>
    </row>
    <row r="15" s="3" customFormat="1" ht="42" customHeight="1" spans="1:10">
      <c r="A15" s="28" t="s">
        <v>21</v>
      </c>
      <c r="B15" s="29"/>
      <c r="C15" s="30"/>
      <c r="D15" s="25">
        <f>SUM(D12:D14)</f>
        <v>364</v>
      </c>
      <c r="E15" s="25"/>
      <c r="F15" s="31"/>
      <c r="G15" s="25">
        <f>SUM(G12:G14)</f>
        <v>73597.248</v>
      </c>
    </row>
    <row r="16" ht="18" customHeight="1" spans="1:10">
      <c r="A16" s="32" t="s">
        <v>22</v>
      </c>
    </row>
    <row r="17" ht="18" customHeight="1" spans="1:10">
      <c r="A17" s="33" t="s">
        <v>23</v>
      </c>
      <c r="C17" s="16" t="s">
        <v>24</v>
      </c>
    </row>
    <row r="18" ht="18" customHeight="1" spans="1:10">
      <c r="A18" s="33" t="s">
        <v>25</v>
      </c>
      <c r="B18" s="34"/>
      <c r="C18" s="33" t="s">
        <v>26</v>
      </c>
      <c r="D18" s="2"/>
      <c r="E18" s="2"/>
      <c r="F18" s="2"/>
      <c r="G18" s="2"/>
      <c r="H18" s="2"/>
      <c r="I18" s="7"/>
      <c r="J18" s="7"/>
    </row>
    <row r="19" ht="18" customHeight="1" spans="1:10">
      <c r="A19" s="33" t="s">
        <v>27</v>
      </c>
      <c r="C19" s="16" t="s">
        <v>28</v>
      </c>
    </row>
    <row r="20" ht="18" customHeight="1" spans="1:10">
      <c r="A20" s="33" t="s">
        <v>29</v>
      </c>
    </row>
    <row r="21" ht="94" customHeight="1" spans="1:10">
      <c r="A21" s="35" t="s">
        <v>30</v>
      </c>
      <c r="B21" s="35"/>
      <c r="C21" s="35"/>
      <c r="D21" s="35"/>
      <c r="E21" s="35"/>
    </row>
    <row r="22" ht="18" customHeight="1" spans="1:10">
      <c r="A22" s="33" t="s">
        <v>31</v>
      </c>
      <c r="D22" s="2"/>
      <c r="E22" s="2"/>
    </row>
    <row r="23" ht="18" customHeight="1" spans="1:10">
      <c r="A23" s="33"/>
      <c r="D23" s="2"/>
      <c r="E23" s="2"/>
    </row>
    <row r="24" ht="36" customHeight="1" spans="1:10">
      <c r="A24" s="36"/>
      <c r="B24" s="15"/>
      <c r="C24" s="15"/>
      <c r="D24" s="15"/>
      <c r="E24" s="15"/>
      <c r="F24" s="15"/>
      <c r="G24" s="15"/>
      <c r="H24" s="15"/>
      <c r="I24" s="15"/>
      <c r="J24" s="7"/>
    </row>
    <row r="25" s="5" customFormat="1" ht="36" customHeight="1" spans="1:10">
      <c r="A25" s="6"/>
      <c r="B25" s="7"/>
      <c r="C25" s="7"/>
      <c r="D25" s="7"/>
      <c r="E25" s="7"/>
      <c r="F25" s="7"/>
      <c r="G25" s="7"/>
      <c r="H25" s="7"/>
      <c r="I25" s="7"/>
      <c r="J25" s="7"/>
    </row>
    <row r="26" s="5" customFormat="1" ht="36" customHeight="1" spans="1:10">
      <c r="A26" s="6"/>
      <c r="B26" s="7"/>
      <c r="C26" s="7"/>
      <c r="D26" s="7"/>
      <c r="E26" s="7"/>
      <c r="F26" s="7"/>
      <c r="G26" s="7"/>
      <c r="H26" s="7"/>
      <c r="I26" s="7"/>
      <c r="J26" s="7"/>
    </row>
    <row r="27" s="5" customFormat="1" ht="36" customHeight="1" spans="1:10">
      <c r="A27" s="6"/>
      <c r="B27" s="7"/>
      <c r="C27" s="7"/>
      <c r="D27" s="7"/>
      <c r="E27" s="7"/>
      <c r="F27" s="7"/>
      <c r="G27" s="7"/>
      <c r="H27" s="7"/>
      <c r="I27" s="7"/>
      <c r="J27" s="7"/>
    </row>
    <row r="28" s="5" customFormat="1" ht="36" customHeight="1" spans="1:10">
      <c r="A28" s="37"/>
    </row>
    <row r="29" s="5" customFormat="1" ht="36" customHeight="1" spans="1:10">
      <c r="A29" s="37"/>
    </row>
    <row r="30" spans="1:10">
      <c r="A30" s="37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37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37"/>
      <c r="B32" s="38"/>
      <c r="C32" s="38"/>
      <c r="D32" s="38"/>
      <c r="E32" s="38"/>
      <c r="F32" s="38"/>
      <c r="G32" s="38"/>
      <c r="H32" s="38"/>
      <c r="I32" s="39"/>
      <c r="J32" s="39"/>
    </row>
    <row r="33" spans="2:3">
      <c r="B33" s="33"/>
      <c r="C33" s="33"/>
    </row>
  </sheetData>
  <mergeCells count="12">
    <mergeCell ref="A1:J1"/>
    <mergeCell ref="A2:J2"/>
    <mergeCell ref="A3:J3"/>
    <mergeCell ref="A4:J4"/>
    <mergeCell ref="A5:J5"/>
    <mergeCell ref="A6:J6"/>
    <mergeCell ref="A7:D7"/>
    <mergeCell ref="A8:D8"/>
    <mergeCell ref="H10:I10"/>
    <mergeCell ref="A11:B11"/>
    <mergeCell ref="A15:C15"/>
    <mergeCell ref="A21:E21"/>
  </mergeCells>
  <pageMargins left="0" right="0" top="0" bottom="0.156944444444444" header="0" footer="0"/>
  <pageSetup paperSize="9" scale="95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S    Y      R</cp:lastModifiedBy>
  <dcterms:created xsi:type="dcterms:W3CDTF">1996-12-16T17:32:00Z</dcterms:created>
  <dcterms:modified xsi:type="dcterms:W3CDTF">2026-04-26T07:26:02Z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1F01F28A2D0A4B47955E002C16B74620_13</vt:lpwstr>
  </property>
  <property fmtid="{D5CDD505-2E9C-101B-9397-08002B2CF9AE}" pid="4" name="CalculationRule">
    <vt:i4>0</vt:i4>
  </property>
</Properties>
</file>
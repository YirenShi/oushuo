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采购合同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<sst xmlns="http://schemas.openxmlformats.org/spreadsheetml/2006/main" count="35" uniqueCount="35">
  <si>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</si>
  <si>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</si>
  <si>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</si>
  <si>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</si>
  <si>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</si>
  <si>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</si>
  <si>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t>购买方Buyer:义乌市槿睿贸易有限公司</t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</si>
  <si>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</si>
  <si>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OS20260609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</si>
  <si>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</si>
  <si>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</si>
  <si>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</si>
  <si>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</si>
  <si>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</si>
  <si>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</si>
  <si>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</si>
  <si>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rPr>
        <sz val="10"/>
        <color rgb="FF000000"/>
        <rFont val="Arial"/>
        <charset val="134"/>
      </rPr>
      <t xml:space="preserve">METAL PAPER RACK 3 Tray
with blister
</t>
    </r>
    <r>
      <rPr>
        <sz val="10"/>
        <color rgb="FF000000"/>
        <rFont val="宋体"/>
        <charset val="134"/>
      </rPr>
      <t>三层文件栏带吸塑</t>
    </r>
  </si>
  <si>
    <t>30*26*27</t>
  </si>
  <si>
    <r>
      <rPr>
        <sz val="10"/>
        <color rgb="FF000000"/>
        <rFont val="Arial"/>
        <charset val="134"/>
      </rPr>
      <t xml:space="preserve">METAL PAPER RACK 4 Tray
with blister
</t>
    </r>
    <r>
      <rPr>
        <sz val="10"/>
        <color rgb="FF000000"/>
        <rFont val="宋体"/>
        <charset val="134"/>
      </rPr>
      <t>四层文件栏带吸塑</t>
    </r>
  </si>
  <si>
    <t>30*26*30</t>
  </si>
  <si>
    <r>
      <rPr>
        <sz val="10"/>
        <color rgb="FF000000"/>
        <rFont val="Arial"/>
        <charset val="134"/>
      </rPr>
      <t xml:space="preserve">METAL PAPER RACK 3 Tray
with blister
</t>
    </r>
    <r>
      <rPr>
        <sz val="10"/>
        <color rgb="FF000000"/>
        <rFont val="宋体"/>
        <charset val="134"/>
      </rPr>
      <t>三联杂志盒带吸塑</t>
    </r>
  </si>
  <si>
    <t>29.5*24.2*3.1</t>
  </si>
  <si>
    <r>
      <rPr>
        <sz val="10"/>
        <color rgb="FF000000"/>
        <rFont val="Arial"/>
        <charset val="134"/>
      </rPr>
      <t xml:space="preserve">METAL PAPER RACK 4 Tray
with blister
</t>
    </r>
    <r>
      <rPr>
        <sz val="10"/>
        <color rgb="FF000000"/>
        <rFont val="宋体"/>
        <charset val="134"/>
      </rPr>
      <t>四联杂志盒带吸塑</t>
    </r>
  </si>
  <si>
    <t>29.5*32.7*31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</si>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</sst>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b/>
      <sz val="10"/>
      <name val="Arial"/>
      <charset val="134"/>
    </font>
    <font>
      <sz val="10"/>
      <name val="宋体"/>
      <charset val="134"/>
    </font>
    <font>
      <b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abSelected="1" workbookViewId="0">
      <selection activeCell="I17" sqref="I17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4.2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5" t="s">
        <v>6</v>
      </c>
      <c r="B7" s="5"/>
      <c r="C7" s="5"/>
      <c r="D7" s="13"/>
      <c r="E7" s="13"/>
      <c r="F7" s="13"/>
      <c r="G7" s="13"/>
      <c r="H7" s="14" t="s">
        <v>7</v>
      </c>
      <c r="I7" s="6"/>
      <c r="J7" s="7" t="s">
        <v>8</v>
      </c>
    </row>
    <row r="8" ht="18" customHeight="1" spans="1:10">
      <c r="A8" s="15"/>
      <c r="B8" s="15"/>
      <c r="C8" s="15"/>
      <c r="D8" s="15"/>
      <c r="E8" s="13"/>
      <c r="F8" s="13"/>
      <c r="G8" s="13"/>
      <c r="H8" s="13" t="s">
        <v>9</v>
      </c>
      <c r="I8" s="16">
        <v>46182</v>
      </c>
    </row>
    <row r="9" ht="18" customHeight="1" spans="1:10">
      <c r="A9" s="15"/>
      <c r="B9" s="15"/>
      <c r="C9" s="15"/>
      <c r="D9" s="15"/>
      <c r="E9" s="13"/>
      <c r="F9" s="13"/>
      <c r="G9" s="13"/>
      <c r="H9" s="13"/>
      <c r="I9" s="17"/>
    </row>
    <row r="10" ht="18" customHeight="1" spans="1:10">
      <c r="B10" s="18"/>
      <c r="C10" s="18"/>
      <c r="D10" s="18"/>
      <c r="E10" s="18"/>
      <c r="F10" s="18"/>
      <c r="H10" s="19"/>
      <c r="I10" s="19"/>
      <c r="J10" s="19"/>
    </row>
    <row r="11" s="3" customFormat="1" ht="48.6" customHeight="1" spans="1:10">
      <c r="A11" s="20" t="s">
        <v>10</v>
      </c>
      <c r="B11" s="20"/>
      <c r="C11" s="20" t="s">
        <v>11</v>
      </c>
      <c r="D11" s="20" t="s">
        <v>12</v>
      </c>
      <c r="E11" s="20" t="s">
        <v>13</v>
      </c>
      <c r="F11" s="21" t="s">
        <v>14</v>
      </c>
      <c r="G11" s="20" t="s">
        <v>15</v>
      </c>
    </row>
    <row r="12" s="3" customFormat="1" ht="48.6" customHeight="1" spans="1:10">
      <c r="A12" s="20">
        <v>1</v>
      </c>
      <c r="B12" s="22" t="s">
        <v>16</v>
      </c>
      <c r="C12" s="23" t="s">
        <v>17</v>
      </c>
      <c r="D12" s="20">
        <v>150</v>
      </c>
      <c r="E12" s="20">
        <v>12</v>
      </c>
      <c r="F12" s="24">
        <f>12.3*1.08</f>
        <v>13.284</v>
      </c>
      <c r="G12" s="25">
        <f>F12*E12*D12</f>
        <v>23911.2</v>
      </c>
    </row>
    <row r="13" s="3" customFormat="1" ht="42" customHeight="1" spans="1:10">
      <c r="A13" s="25">
        <v>2</v>
      </c>
      <c r="B13" s="22" t="s">
        <v>18</v>
      </c>
      <c r="C13" s="23" t="s">
        <v>19</v>
      </c>
      <c r="D13" s="23">
        <v>150</v>
      </c>
      <c r="E13" s="23">
        <v>12</v>
      </c>
      <c r="F13" s="24">
        <f>15.3*1.08</f>
        <v>16.524</v>
      </c>
      <c r="G13" s="25">
        <f>F13*E13*D13</f>
        <v>29743.2</v>
      </c>
    </row>
    <row r="14" s="3" customFormat="1" ht="42" customHeight="1" spans="1:10">
      <c r="A14" s="25">
        <v>3</v>
      </c>
      <c r="B14" s="22" t="s">
        <v>20</v>
      </c>
      <c r="C14" s="23" t="s">
        <v>21</v>
      </c>
      <c r="D14" s="23">
        <v>150</v>
      </c>
      <c r="E14" s="23">
        <v>12</v>
      </c>
      <c r="F14" s="24">
        <f>15.1*1.08</f>
        <v>16.308</v>
      </c>
      <c r="G14" s="25">
        <f>F14*E14*D14</f>
        <v>29354.4</v>
      </c>
    </row>
    <row r="15" s="3" customFormat="1" ht="42" customHeight="1" spans="1:10">
      <c r="A15" s="25">
        <v>4</v>
      </c>
      <c r="B15" s="22" t="s">
        <v>22</v>
      </c>
      <c r="C15" s="23" t="s">
        <v>23</v>
      </c>
      <c r="D15" s="23">
        <v>150</v>
      </c>
      <c r="E15" s="23">
        <v>12</v>
      </c>
      <c r="F15" s="24">
        <f>18.5*1.08</f>
        <v>19.98</v>
      </c>
      <c r="G15" s="25">
        <f>F15*E15*D15</f>
        <v>35964</v>
      </c>
    </row>
    <row r="16" s="3" customFormat="1" ht="42" customHeight="1" spans="1:10">
      <c r="A16" s="26" t="s">
        <v>24</v>
      </c>
      <c r="B16" s="27"/>
      <c r="C16" s="28"/>
      <c r="D16" s="23">
        <f>SUM(D12:D15)</f>
        <v>600</v>
      </c>
      <c r="E16" s="23"/>
      <c r="F16" s="29"/>
      <c r="G16" s="23">
        <f>SUM(G12:G15)</f>
        <v>118972.8</v>
      </c>
    </row>
    <row r="17" ht="18" customHeight="1" spans="1:10">
      <c r="A17" s="30" t="s">
        <v>25</v>
      </c>
    </row>
    <row r="18" ht="18" customHeight="1" spans="1:10">
      <c r="A18" s="31" t="s">
        <v>26</v>
      </c>
      <c r="C18" s="14" t="s">
        <v>27</v>
      </c>
    </row>
    <row r="19" ht="18" customHeight="1" spans="1:10">
      <c r="A19" s="31" t="s">
        <v>28</v>
      </c>
      <c r="B19" s="32"/>
      <c r="C19" s="33" t="s">
        <v>29</v>
      </c>
      <c r="D19" s="2"/>
      <c r="E19" s="2"/>
      <c r="F19" s="2"/>
      <c r="G19" s="2"/>
      <c r="H19" s="2"/>
      <c r="I19" s="6"/>
      <c r="J19" s="6"/>
    </row>
    <row r="20" ht="18" customHeight="1" spans="1:10">
      <c r="A20" s="31" t="s">
        <v>30</v>
      </c>
      <c r="C20" s="14" t="s">
        <v>31</v>
      </c>
    </row>
    <row r="21" ht="18" customHeight="1" spans="1:10">
      <c r="A21" s="31" t="s">
        <v>32</v>
      </c>
    </row>
    <row r="22" ht="94" customHeight="1" spans="1:10">
      <c r="A22" s="34" t="s">
        <v>33</v>
      </c>
      <c r="B22" s="34"/>
      <c r="C22" s="34"/>
      <c r="D22" s="34"/>
      <c r="E22" s="34"/>
    </row>
    <row r="23" ht="18" customHeight="1" spans="1:10">
      <c r="A23" s="31" t="s">
        <v>34</v>
      </c>
      <c r="D23" s="2"/>
      <c r="E23" s="2"/>
    </row>
    <row r="24" ht="18" customHeight="1" spans="1:10">
      <c r="A24" s="31"/>
      <c r="D24" s="2"/>
      <c r="E24" s="2"/>
    </row>
    <row r="25" ht="36" customHeight="1" spans="1:10">
      <c r="A25" s="35"/>
      <c r="B25" s="13"/>
      <c r="C25" s="13"/>
      <c r="D25" s="13"/>
      <c r="E25" s="13"/>
      <c r="F25" s="13"/>
      <c r="G25" s="13"/>
      <c r="H25" s="13"/>
      <c r="I25" s="13"/>
      <c r="J25" s="6"/>
    </row>
    <row r="26" s="4" customFormat="1" ht="36" customHeight="1" spans="1:10">
      <c r="A26" s="5"/>
      <c r="B26" s="6"/>
      <c r="C26" s="6"/>
      <c r="D26" s="6"/>
      <c r="E26" s="6"/>
      <c r="F26" s="6"/>
      <c r="G26" s="6"/>
      <c r="H26" s="6"/>
      <c r="I26" s="6"/>
      <c r="J26" s="6"/>
    </row>
    <row r="27" s="4" customFormat="1" ht="36" customHeight="1" spans="1:10">
      <c r="A27" s="5"/>
      <c r="B27" s="6"/>
      <c r="C27" s="6"/>
      <c r="D27" s="6"/>
      <c r="E27" s="6"/>
      <c r="F27" s="6"/>
      <c r="G27" s="6"/>
      <c r="H27" s="6"/>
      <c r="I27" s="6"/>
      <c r="J27" s="6"/>
    </row>
    <row r="28" s="4" customFormat="1" ht="36" customHeight="1" spans="1:10">
      <c r="A28" s="5"/>
      <c r="B28" s="6"/>
      <c r="C28" s="6"/>
      <c r="D28" s="6"/>
      <c r="E28" s="6"/>
      <c r="F28" s="6"/>
      <c r="G28" s="6"/>
      <c r="H28" s="6"/>
      <c r="I28" s="6"/>
      <c r="J28" s="6"/>
    </row>
    <row r="29" s="4" customFormat="1" ht="36" customHeight="1" spans="1:10">
      <c r="A29" s="36"/>
    </row>
    <row r="30" s="4" customFormat="1" ht="36" customHeight="1" spans="1:10">
      <c r="A30" s="36"/>
    </row>
    <row r="31" spans="1:10">
      <c r="A31" s="36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36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36"/>
      <c r="B33" s="37"/>
      <c r="C33" s="37"/>
      <c r="D33" s="37"/>
      <c r="E33" s="37"/>
      <c r="F33" s="37"/>
      <c r="G33" s="37"/>
      <c r="H33" s="37"/>
      <c r="I33" s="38"/>
      <c r="J33" s="38"/>
    </row>
    <row r="34" spans="1:10">
      <c r="B34" s="31"/>
      <c r="C34" s="31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6:C16"/>
    <mergeCell ref="A22:E22"/>
  </mergeCells>
  <pageMargins left="0" right="0" top="0" bottom="0.156944444444444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2026-08-05T00:38:27Z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17276D0C094A4A18B00F1135213EB2FF_13</vt:lpwstr>
  </property>
  <property fmtid="{D5CDD505-2E9C-101B-9397-08002B2CF9AE}" pid="4" name="CalculationRule">
    <vt:i4>0</vt:i4>
  </property>
</Properties>
</file>
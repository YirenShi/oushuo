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<sst xmlns="http://schemas.openxmlformats.org/spreadsheetml/2006/main" count="37" uniqueCount="36">
  <si>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</si>
  <si>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</si>
  <si>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</si>
  <si>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</si>
  <si>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</si>
  <si>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</si>
  <si>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t>购买方Buyer:义乌市槿睿贸易有限公司</t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</si>
  <si>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</si>
  <si>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OS20260216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</si>
  <si>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</si>
  <si>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</si>
  <si>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</si>
  <si>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</si>
  <si>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</si>
  <si>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</si>
  <si>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</si>
  <si>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t xml:space="preserve">METAL PAPER RACK 3 Tray
with blister
</t>
    </r>
    <r>
      <rPr>
        <sz val="10"/>
        <rFont val="宋体"/>
        <charset val="134"/>
      </rPr>
      <t>三层文件栏带吸塑</t>
    </r>
  </si>
  <si>
    <t>30*26*27</t>
  </si>
  <si>
    <r>
      <t xml:space="preserve">METAL PAPER RACK 3 Tray
with blister
</t>
    </r>
    <r>
      <rPr>
        <sz val="10"/>
        <rFont val="宋体"/>
        <charset val="134"/>
      </rPr>
      <t>三联杂志盒带吸塑</t>
    </r>
  </si>
  <si>
    <r>
      <t xml:space="preserve">METAL PAPER RACK 4 Tray
with blister
</t>
    </r>
    <r>
      <rPr>
        <sz val="10"/>
        <color rgb="FF000000"/>
        <rFont val="宋体"/>
        <charset val="134"/>
      </rPr>
      <t>四层文件栏带吸塑</t>
    </r>
  </si>
  <si>
    <t>30*26*30</t>
  </si>
  <si>
    <r>
      <t xml:space="preserve">METAL PAPER RACK 3 Tray
with blister
</t>
    </r>
    <r>
      <rPr>
        <sz val="10"/>
        <color rgb="FF000000"/>
        <rFont val="宋体"/>
        <charset val="134"/>
      </rPr>
      <t>三联杂志盒带吸塑</t>
    </r>
  </si>
  <si>
    <t>29.5*24.2*3.1</t>
  </si>
  <si>
    <r>
      <rPr>
        <sz val="10"/>
        <color rgb="FF000000"/>
        <rFont val="Arial"/>
        <charset val="134"/>
      </rPr>
      <t xml:space="preserve">METAL PAPER RACK 4 Tray
with blister
</t>
    </r>
    <r>
      <rPr>
        <sz val="10"/>
        <color rgb="FF000000"/>
        <rFont val="宋体"/>
        <charset val="134"/>
      </rPr>
      <t>四联杂志盒带吸塑</t>
    </r>
  </si>
  <si>
    <t>29.5*32.7*31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</si>
  <si>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</si>
  <si>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</si>
  <si>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</si>
  <si>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rPr>
        <sz val="12"/>
        <rFont val="宋体"/>
        <charset val="134"/>
      </rPr>
      <t xml:space="preserve">订金10000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</si>
  <si>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</si>
  <si>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支付订金后20天生产完成</t>
  </si>
  <si>
    <t xml:space="preserve">3)交货地点WAREHOUSE： </t>
  </si>
  <si>
    <t>义乌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</si>
  <si>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</si>
  <si>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</si>
  <si>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t>5)正側2面唛头。2 SIDES SHIPPING 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</si>
</sst>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8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2"/>
      <name val="宋体"/>
      <charset val="134"/>
    </font>
    <font>
      <b/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abSelected="1" zoomScale="160" zoomScaleNormal="160" workbookViewId="0">
      <selection activeCell="H14" sqref="H14"/>
    </sheetView>
  </sheetViews>
  <sheetFormatPr defaultColWidth="9" defaultRowHeight="15.5"/>
  <cols>
    <col min="1" max="1" width="3.8" style="5" customWidth="1"/>
    <col min="2" max="2" width="24.6" style="6" customWidth="1"/>
    <col min="3" max="3" width="11.9" style="6" customWidth="1"/>
    <col min="4" max="5" width="10.2" style="6" customWidth="1"/>
    <col min="6" max="6" width="16.2" style="6" customWidth="1"/>
    <col min="7" max="8" width="10.2" style="6" customWidth="1"/>
    <col min="9" max="9" width="10.4166666666667" style="7" customWidth="1"/>
    <col min="10" max="10" width="14.2" style="7" customWidth="1"/>
    <col min="11" max="12" width="9" style="6"/>
    <col min="13" max="13" width="9.2" style="6" customWidth="1"/>
    <col min="14" max="14" width="11.6" style="6" customWidth="1"/>
    <col min="15" max="16384" width="9" style="6"/>
  </cols>
  <sheetData>
    <row r="1" s="1" customFormat="1" ht="19.95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1" customFormat="1" ht="19.95" customHeight="1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ht="18" customHeight="1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ht="18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ht="18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31.2" customHeight="1" spans="1:10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</row>
    <row r="7" ht="18" customHeight="1" spans="1:10">
      <c r="A7" s="5" t="s">
        <v>6</v>
      </c>
      <c r="B7" s="5"/>
      <c r="C7" s="5"/>
      <c r="D7" s="13"/>
      <c r="E7" s="13"/>
      <c r="F7" s="13"/>
      <c r="G7" s="13"/>
      <c r="H7" s="14" t="s">
        <v>7</v>
      </c>
      <c r="I7" s="6"/>
      <c r="J7" s="7" t="s">
        <v>8</v>
      </c>
    </row>
    <row r="8" ht="18" customHeight="1" spans="1:10">
      <c r="A8" s="15"/>
      <c r="B8" s="15"/>
      <c r="C8" s="15"/>
      <c r="D8" s="15"/>
      <c r="E8" s="13"/>
      <c r="F8" s="13"/>
      <c r="G8" s="13"/>
      <c r="H8" s="13" t="s">
        <v>9</v>
      </c>
      <c r="I8" s="16">
        <v>46069</v>
      </c>
    </row>
    <row r="9" ht="18" customHeight="1" spans="1:10">
      <c r="A9" s="15"/>
      <c r="B9" s="15"/>
      <c r="C9" s="15"/>
      <c r="D9" s="15"/>
      <c r="E9" s="13"/>
      <c r="F9" s="13"/>
      <c r="G9" s="13"/>
      <c r="H9" s="13"/>
      <c r="I9" s="17"/>
    </row>
    <row r="10" ht="18" customHeight="1" spans="1:10">
      <c r="B10" s="18"/>
      <c r="C10" s="18"/>
      <c r="D10" s="18"/>
      <c r="E10" s="18"/>
      <c r="F10" s="18"/>
      <c r="H10" s="19"/>
      <c r="I10" s="19"/>
      <c r="J10" s="19"/>
    </row>
    <row r="11" s="3" customFormat="1" ht="48.6" customHeight="1" spans="1:10">
      <c r="A11" s="20" t="s">
        <v>10</v>
      </c>
      <c r="B11" s="20"/>
      <c r="C11" s="20" t="s">
        <v>11</v>
      </c>
      <c r="D11" s="20" t="s">
        <v>12</v>
      </c>
      <c r="E11" s="20" t="s">
        <v>13</v>
      </c>
      <c r="F11" s="21" t="s">
        <v>14</v>
      </c>
      <c r="G11" s="20" t="s">
        <v>15</v>
      </c>
    </row>
    <row r="12" s="3" customFormat="1" ht="48.6" customHeight="1" spans="1:10">
      <c r="A12" s="20">
        <v>1</v>
      </c>
      <c r="B12" s="20" t="s">
        <v>16</v>
      </c>
      <c r="C12" s="22" t="s">
        <v>17</v>
      </c>
      <c r="D12" s="20">
        <v>80</v>
      </c>
      <c r="E12" s="22">
        <v>12</v>
      </c>
      <c r="F12" s="23">
        <f>12.5*1.08</f>
        <v>13.5</v>
      </c>
      <c r="G12" s="24">
        <f>F12*E12*D12</f>
        <v>12960</v>
      </c>
    </row>
    <row r="13" s="3" customFormat="1" ht="48.6" customHeight="1" spans="1:10">
      <c r="A13" s="20">
        <v>2</v>
      </c>
      <c r="B13" s="20" t="s">
        <v>18</v>
      </c>
      <c r="C13" s="22" t="s">
        <v>17</v>
      </c>
      <c r="D13" s="20">
        <v>80</v>
      </c>
      <c r="E13" s="22">
        <v>12</v>
      </c>
      <c r="F13" s="23">
        <f>12.5*1.08</f>
        <v>13.5</v>
      </c>
      <c r="G13" s="24">
        <f>F13*E13*D13</f>
        <v>12960</v>
      </c>
    </row>
    <row r="14" s="3" customFormat="1" ht="42" customHeight="1" spans="1:10">
      <c r="A14" s="20">
        <v>3</v>
      </c>
      <c r="B14" s="25" t="s">
        <v>19</v>
      </c>
      <c r="C14" s="22" t="s">
        <v>20</v>
      </c>
      <c r="D14" s="22">
        <v>80</v>
      </c>
      <c r="E14" s="22">
        <v>12</v>
      </c>
      <c r="F14" s="23">
        <f>15.5*1.08</f>
        <v>16.74</v>
      </c>
      <c r="G14" s="24">
        <f>F14*E14*D14</f>
        <v>16070.4</v>
      </c>
    </row>
    <row r="15" s="3" customFormat="1" ht="42" customHeight="1" spans="1:10">
      <c r="A15" s="20">
        <v>4</v>
      </c>
      <c r="B15" s="25" t="s">
        <v>21</v>
      </c>
      <c r="C15" s="22" t="s">
        <v>22</v>
      </c>
      <c r="D15" s="22">
        <v>80</v>
      </c>
      <c r="E15" s="22">
        <v>12</v>
      </c>
      <c r="F15" s="23">
        <f>15.3*1.08</f>
        <v>16.524</v>
      </c>
      <c r="G15" s="24">
        <f>F15*E15*D15</f>
        <v>15863.04</v>
      </c>
    </row>
    <row r="16" s="3" customFormat="1" ht="42" customHeight="1" spans="1:10">
      <c r="A16" s="20">
        <v>5</v>
      </c>
      <c r="B16" s="25" t="s">
        <v>23</v>
      </c>
      <c r="C16" s="22" t="s">
        <v>24</v>
      </c>
      <c r="D16" s="22">
        <v>80</v>
      </c>
      <c r="E16" s="22">
        <v>12</v>
      </c>
      <c r="F16" s="23">
        <f>18.7*1.08</f>
        <v>20.196</v>
      </c>
      <c r="G16" s="24">
        <f>F16*E16*D16</f>
        <v>19388.16</v>
      </c>
    </row>
    <row r="17" s="3" customFormat="1" ht="42" customHeight="1" spans="1:10">
      <c r="A17" s="26" t="s">
        <v>25</v>
      </c>
      <c r="B17" s="27"/>
      <c r="C17" s="28"/>
      <c r="D17" s="22">
        <f>SUM(D14:D16)</f>
        <v>240</v>
      </c>
      <c r="E17" s="22"/>
      <c r="F17" s="29"/>
      <c r="G17" s="22">
        <f>SUM(G12:G16)</f>
        <v>77241.6</v>
      </c>
    </row>
    <row r="18" ht="18" customHeight="1" spans="1:10">
      <c r="A18" s="30" t="s">
        <v>26</v>
      </c>
    </row>
    <row r="19" ht="18" customHeight="1" spans="1:10">
      <c r="A19" s="31" t="s">
        <v>27</v>
      </c>
      <c r="C19" s="14" t="s">
        <v>28</v>
      </c>
    </row>
    <row r="20" ht="18" customHeight="1" spans="1:10">
      <c r="A20" s="31" t="s">
        <v>29</v>
      </c>
      <c r="B20" s="32"/>
      <c r="C20" s="33" t="s">
        <v>30</v>
      </c>
      <c r="D20" s="2"/>
      <c r="E20" s="2"/>
      <c r="F20" s="2"/>
      <c r="G20" s="2"/>
      <c r="H20" s="2"/>
      <c r="I20" s="6"/>
      <c r="J20" s="6"/>
    </row>
    <row r="21" ht="18" customHeight="1" spans="1:10">
      <c r="A21" s="31" t="s">
        <v>31</v>
      </c>
      <c r="C21" s="14" t="s">
        <v>32</v>
      </c>
    </row>
    <row r="22" ht="18" customHeight="1" spans="1:10">
      <c r="A22" s="31" t="s">
        <v>33</v>
      </c>
    </row>
    <row r="23" ht="94" customHeight="1" spans="1:10">
      <c r="A23" s="34" t="s">
        <v>34</v>
      </c>
      <c r="B23" s="34"/>
      <c r="C23" s="34"/>
      <c r="D23" s="34"/>
      <c r="E23" s="34"/>
    </row>
    <row r="24" ht="18" customHeight="1" spans="1:10">
      <c r="A24" s="31" t="s">
        <v>35</v>
      </c>
      <c r="D24" s="2"/>
      <c r="E24" s="2"/>
    </row>
    <row r="25" ht="18" customHeight="1" spans="1:10">
      <c r="A25" s="31"/>
      <c r="D25" s="2"/>
      <c r="E25" s="2"/>
    </row>
    <row r="26" ht="36" customHeight="1" spans="1:10">
      <c r="A26" s="35"/>
      <c r="B26" s="13"/>
      <c r="C26" s="13"/>
      <c r="D26" s="13"/>
      <c r="E26" s="13"/>
      <c r="F26" s="13"/>
      <c r="G26" s="13"/>
      <c r="H26" s="13"/>
      <c r="I26" s="13"/>
      <c r="J26" s="6"/>
    </row>
    <row r="27" s="4" customFormat="1" ht="36" customHeight="1" spans="1:10">
      <c r="A27" s="5"/>
      <c r="B27" s="6"/>
      <c r="C27" s="6"/>
      <c r="D27" s="6"/>
      <c r="E27" s="6"/>
      <c r="F27" s="6"/>
      <c r="G27" s="6"/>
      <c r="H27" s="6"/>
      <c r="I27" s="6"/>
      <c r="J27" s="6"/>
    </row>
    <row r="28" s="4" customFormat="1" ht="36" customHeight="1" spans="1:10">
      <c r="A28" s="5"/>
      <c r="B28" s="6"/>
      <c r="C28" s="6"/>
      <c r="D28" s="6"/>
      <c r="E28" s="6"/>
      <c r="F28" s="6"/>
      <c r="G28" s="6"/>
      <c r="H28" s="6"/>
      <c r="I28" s="6"/>
      <c r="J28" s="6"/>
    </row>
    <row r="29" s="4" customFormat="1" ht="36" customHeight="1" spans="1:10">
      <c r="A29" s="5"/>
      <c r="B29" s="6"/>
      <c r="C29" s="6"/>
      <c r="D29" s="6"/>
      <c r="E29" s="6"/>
      <c r="F29" s="6"/>
      <c r="G29" s="6"/>
      <c r="H29" s="6"/>
      <c r="I29" s="6"/>
      <c r="J29" s="6"/>
    </row>
    <row r="30" s="4" customFormat="1" ht="36" customHeight="1" spans="1:10">
      <c r="A30" s="36"/>
    </row>
    <row r="31" s="4" customFormat="1" ht="36" customHeight="1" spans="1:10">
      <c r="A31" s="36"/>
    </row>
    <row r="32" spans="1:10">
      <c r="A32" s="36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36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6"/>
      <c r="B34" s="37"/>
      <c r="C34" s="37"/>
      <c r="D34" s="37"/>
      <c r="E34" s="37"/>
      <c r="F34" s="37"/>
      <c r="G34" s="37"/>
      <c r="H34" s="37"/>
      <c r="I34" s="38"/>
      <c r="J34" s="38"/>
    </row>
    <row r="35" spans="1:10">
      <c r="B35" s="31"/>
      <c r="C35" s="31"/>
    </row>
  </sheetData>
  <mergeCells count="12">
    <mergeCell ref="A1:J1"/>
    <mergeCell ref="A2:J2"/>
    <mergeCell ref="A3:J3"/>
    <mergeCell ref="A4:J4"/>
    <mergeCell ref="A5:J5"/>
    <mergeCell ref="A6:J6"/>
    <mergeCell ref="A7:C7"/>
    <mergeCell ref="A8:D8"/>
    <mergeCell ref="H10:I10"/>
    <mergeCell ref="A11:B11"/>
    <mergeCell ref="A17:C17"/>
    <mergeCell ref="A23:E23"/>
  </mergeCells>
  <pageMargins left="0" right="0" top="0" bottom="0.156944444444444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2026-04-26T02:41:34Z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ECEF92E680E740FE87AA36DB8C16F892_13</vt:lpwstr>
  </property>
  <property fmtid="{D5CDD505-2E9C-101B-9397-08002B2CF9AE}" pid="4" name="CalculationRule">
    <vt:i4>0</vt:i4>
  </property>
</Properties>
</file>
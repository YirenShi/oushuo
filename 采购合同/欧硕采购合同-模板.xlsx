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欧硕共享文件夹\"/>
    </mc:Choice>
  </mc:AlternateContent>
  <bookViews>
    <workbookView windowHeight="17680"/>
  </bookViews>
  <sheets>
    <sheet name="采购合同" sheetId="1" r:id="rId1"/>
  </sheets>
  <definedNames>
    <definedName name="_xlnm.Print_Area" localSheetId="0">采购合同!$A$1:$H$31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<sst xmlns="http://schemas.openxmlformats.org/spreadsheetml/2006/main" count="57" uniqueCount="48">
  <si>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永康市欧硕工贸有限公司</t>
  </si>
  <si>
    <t>YONGKANG OUSHUO METAL PEN &amp; PAPER STAND FACTORY</t>
  </si>
  <si>
    <t>浙江省永康市龙山镇胡塘下村共富工坊    电话：18317031446</t>
  </si>
  <si>
    <t>采购合同</t>
  </si>
  <si>
    <t>合同编号：OS2026100708      签订日期：2026年10月06日</t>
  </si>
  <si>
    <t>甲方/采购方</t>
  </si>
  <si>
    <t>统一社会信用代码</t>
  </si>
  <si>
    <t>乙方/供货方</t>
  </si>
  <si>
    <t>联系电话</t>
  </si>
  <si>
    <t>交货地点</t>
  </si>
  <si>
    <t>义乌</t>
  </si>
  <si>
    <t>交货时间</t>
  </si>
  <si>
    <t>支付订金后20天生产完成</t>
  </si>
  <si>
    <t>收款单位</t>
  </si>
  <si>
    <t>纳税人识别号</t>
  </si>
  <si>
    <t>91330784MA2JWMAH56</t>
  </si>
  <si>
    <t>收款账户</t>
  </si>
  <si>
    <t>6235720800000626398  中国银行上海市浦东开发区支行  施易人</t>
  </si>
  <si>
    <t>一、采购标的及价款</t>
  </si>
  <si>
    <t>品名/描述</t>
  </si>
  <si>
    <t>规格</t>
  </si>
  <si>
    <t>箱数</t>
  </si>
  <si>
    <t>装箱量</t>
  </si>
  <si>
    <t>数量</t>
  </si>
  <si>
    <t>义乌交货单价</t>
  </si>
  <si>
    <t>金额</t>
  </si>
  <si>
    <t>币种</t>
  </si>
  <si>
    <t xml:space="preserve">METAL PAPER RACK 5 Tray
with blister
</t>
  </si>
  <si>
    <t>30*36*36</t>
  </si>
  <si>
    <t>元</t>
  </si>
  <si>
    <t xml:space="preserve">METAL PAPER RACK 3 Tray
with blister
</t>
  </si>
  <si>
    <t>30*36*27</t>
  </si>
  <si>
    <t xml:space="preserve">METAL PAPER RACK 4 Tray
with blister
</t>
  </si>
  <si>
    <t>36*30*32</t>
  </si>
  <si>
    <t>合同总价</t>
  </si>
  <si>
    <t>二、合同条款（精简版）</t>
  </si>
  <si>
    <t>1. 付款：甲方支付订金人民币10,000元，余款于交货前付清。</t>
  </si>
  <si>
    <t>2. 交付：乙方收到订金并确认资料后按约生产，交货地点为义乌；甲方未按期付款或变更资料的，交货期顺延。</t>
  </si>
  <si>
    <t>3. 验收：甲方应于收货后7个工作日内完成数量、外观及包装验收；逾期未书面提出异议的，视为验收合格。</t>
  </si>
  <si>
    <t>4. 质量：按双方确认的样品、规格或行业通常标准执行；属乙方责任的质量问题，乙方负责补货、返修、换货或协商折价。</t>
  </si>
  <si>
    <t>5. 违约/争议：任一方违约应赔偿对方直接损失；本合同适用中国法律，协商不成的，由乙方所在地有管辖权的人民法院处理。</t>
  </si>
  <si>
    <t>6. 包装/唛头：客户定制彩盒/外箱。本合同经双方签字或盖章后生效，扫描件、传真件或电子确认件与原件具有同等效力。</t>
  </si>
  <si>
    <t>三、签署</t>
  </si>
  <si>
    <t>甲方（采购方）</t>
  </si>
  <si>
    <t>乙方（供货方）</t>
  </si>
  <si>
    <t>盖章/签字：</t>
  </si>
  <si>
    <t>授权代表：</t>
  </si>
  <si>
    <t>日期：      年    月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</si>
</sst>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2"/>
      <color rgb="FF000000"/>
      <name val="SimSun"/>
      <charset val="134"/>
    </font>
    <font>
      <sz val="9"/>
      <color rgb="FF595959"/>
      <name val="SimSun"/>
      <charset val="134"/>
    </font>
    <font>
      <b/>
      <sz val="18"/>
      <color rgb="FF000000"/>
      <name val="SimSun"/>
      <charset val="134"/>
    </font>
    <font>
      <sz val="10"/>
      <color rgb="FF000000"/>
      <name val="SimSun"/>
      <charset val="134"/>
    </font>
    <font>
      <b/>
      <sz val="9"/>
      <name val="SimSun"/>
      <charset val="134"/>
    </font>
    <font>
      <sz val="9"/>
      <name val="SimSun"/>
      <charset val="134"/>
    </font>
    <font>
      <b/>
      <sz val="10"/>
      <name val="SimSun"/>
      <charset val="134"/>
    </font>
    <font>
      <b/>
      <sz val="9"/>
      <color rgb="FF1565C0"/>
      <name val="SimSun"/>
      <charset val="134"/>
    </font>
    <font>
      <sz val="8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2" borderId="16" applyNumberFormat="0" applyAlignment="0" applyProtection="0">
      <alignment vertical="center"/>
    </xf>
    <xf numFmtId="0" fontId="21" fillId="2" borderId="15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5" fillId="2" borderId="1" xfId="49" applyFont="1" applyFill="1" applyBorder="1" applyAlignment="1">
      <alignment vertical="center" wrapText="1"/>
    </xf>
    <xf numFmtId="0" fontId="6" fillId="0" borderId="1" xfId="49" applyFont="1" applyBorder="1" applyAlignment="1">
      <alignment vertical="center" wrapText="1"/>
    </xf>
    <xf numFmtId="49" fontId="6" fillId="0" borderId="1" xfId="49" applyNumberFormat="1" applyFont="1" applyBorder="1" applyAlignment="1">
      <alignment vertical="center" wrapText="1"/>
    </xf>
    <xf numFmtId="0" fontId="0" fillId="0" borderId="2" xfId="49" applyBorder="1"/>
    <xf numFmtId="0" fontId="0" fillId="0" borderId="3" xfId="49" applyBorder="1"/>
    <xf numFmtId="0" fontId="7" fillId="3" borderId="0" xfId="49" applyFont="1" applyFill="1"/>
    <xf numFmtId="0" fontId="5" fillId="2" borderId="1" xfId="49" applyFont="1" applyFill="1" applyBorder="1" applyAlignment="1">
      <alignment horizontal="center" vertical="center" wrapText="1"/>
    </xf>
    <xf numFmtId="0" fontId="6" fillId="0" borderId="1" xfId="49" applyFont="1" applyBorder="1" applyAlignment="1">
      <alignment horizontal="left" vertical="center" wrapText="1"/>
    </xf>
    <xf numFmtId="4" fontId="6" fillId="4" borderId="1" xfId="49" applyNumberFormat="1" applyFont="1" applyFill="1" applyBorder="1" applyAlignment="1">
      <alignment horizontal="right" vertical="center" wrapText="1"/>
    </xf>
    <xf numFmtId="4" fontId="8" fillId="4" borderId="1" xfId="49" applyNumberFormat="1" applyFont="1" applyFill="1" applyBorder="1" applyAlignment="1">
      <alignment horizontal="right" vertical="center" wrapText="1"/>
    </xf>
    <xf numFmtId="0" fontId="5" fillId="5" borderId="1" xfId="49" applyFont="1" applyFill="1" applyBorder="1" applyAlignment="1">
      <alignment vertical="center" wrapText="1"/>
    </xf>
    <xf numFmtId="0" fontId="9" fillId="0" borderId="4" xfId="49" applyFont="1" applyBorder="1" applyAlignment="1">
      <alignment vertical="center" wrapText="1"/>
    </xf>
    <xf numFmtId="0" fontId="0" fillId="0" borderId="5" xfId="49" applyBorder="1"/>
    <xf numFmtId="0" fontId="0" fillId="0" borderId="6" xfId="49" applyBorder="1"/>
    <xf numFmtId="0" fontId="9" fillId="0" borderId="7" xfId="49" applyFont="1" applyBorder="1" applyAlignment="1">
      <alignment vertical="center" wrapText="1"/>
    </xf>
    <xf numFmtId="0" fontId="0" fillId="0" borderId="8" xfId="49" applyBorder="1"/>
    <xf numFmtId="0" fontId="9" fillId="0" borderId="9" xfId="49" applyFont="1" applyBorder="1" applyAlignment="1">
      <alignment vertical="center" wrapText="1"/>
    </xf>
    <xf numFmtId="0" fontId="0" fillId="0" borderId="10" xfId="49" applyBorder="1"/>
    <xf numFmtId="0" fontId="0" fillId="0" borderId="11" xfId="49" applyBorder="1"/>
    <xf numFmtId="0" fontId="5" fillId="2" borderId="1" xfId="49" applyFont="1" applyFill="1" applyBorder="1" applyAlignment="1">
      <alignment horizontal="center" vertical="center"/>
    </xf>
    <xf numFmtId="0" fontId="6" fillId="0" borderId="1" xfId="49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31"/>
  <sheetViews>
    <sheetView showGridLines="0" tabSelected="1" zoomScale="130" zoomScaleNormal="130" workbookViewId="0">
      <selection activeCell="K13" sqref="K13"/>
    </sheetView>
  </sheetViews>
  <sheetFormatPr defaultColWidth="9" defaultRowHeight="14" outlineLevelCol="7"/>
  <cols>
    <col min="1" max="1" width="10" customWidth="1"/>
    <col min="2" max="2" width="16.025" customWidth="1"/>
    <col min="3" max="3" width="13" customWidth="1"/>
    <col min="4" max="4" width="18" customWidth="1"/>
    <col min="5" max="5" width="12" customWidth="1"/>
    <col min="6" max="6" width="13" customWidth="1"/>
    <col min="7" max="7" width="14" customWidth="1"/>
    <col min="8" max="8" width="16" customWidth="1"/>
  </cols>
  <sheetData>
    <row r="1" ht="22" customHeight="1" spans="1:8">
      <c r="A1" s="1" t="s">
        <v>0</v>
      </c>
    </row>
    <row r="2" ht="22" customHeight="1" spans="1:8">
      <c r="A2" s="2" t="s">
        <v>1</v>
      </c>
    </row>
    <row r="3" ht="22" customHeight="1" spans="1:8">
      <c r="A3" s="2" t="s">
        <v>2</v>
      </c>
    </row>
    <row r="4" ht="30" customHeight="1" spans="1:8">
      <c r="A4" s="3" t="s">
        <v>3</v>
      </c>
    </row>
    <row r="5" ht="22" customHeight="1" spans="1:8">
      <c r="A5" s="4" t="s">
        <v>4</v>
      </c>
    </row>
    <row r="7" ht="26" customHeight="1" spans="1:8">
      <c r="A7" s="5" t="s">
        <v>5</v>
      </c>
      <c r="B7" s="6"/>
      <c r="C7" s="6" t="s">
        <v>6</v>
      </c>
      <c r="D7" s="7"/>
      <c r="E7" s="6" t="s">
        <v>7</v>
      </c>
      <c r="F7" s="6" t="s">
        <v>0</v>
      </c>
      <c r="G7" s="6" t="s">
        <v>8</v>
      </c>
      <c r="H7" s="6">
        <v>18317031446</v>
      </c>
    </row>
    <row r="8" ht="26" customHeight="1" spans="1:8">
      <c r="A8" s="5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0</v>
      </c>
      <c r="G8" s="6" t="s">
        <v>14</v>
      </c>
      <c r="H8" s="7" t="s">
        <v>15</v>
      </c>
    </row>
    <row r="9" ht="26" customHeight="1" spans="1:8">
      <c r="A9" s="5" t="s">
        <v>16</v>
      </c>
      <c r="B9" s="6" t="s">
        <v>17</v>
      </c>
      <c r="C9" s="8"/>
      <c r="D9" s="8"/>
      <c r="E9" s="8"/>
      <c r="F9" s="8"/>
      <c r="G9" s="8"/>
      <c r="H9" s="9"/>
    </row>
    <row r="11" spans="1:8">
      <c r="A11" s="10" t="s">
        <v>18</v>
      </c>
    </row>
    <row r="12" spans="1:8">
      <c r="A12" s="11" t="s">
        <v>19</v>
      </c>
      <c r="B12" s="11" t="s">
        <v>20</v>
      </c>
      <c r="C12" s="11" t="s">
        <v>21</v>
      </c>
      <c r="D12" s="11" t="s">
        <v>22</v>
      </c>
      <c r="E12" s="11" t="s">
        <v>23</v>
      </c>
      <c r="F12" s="11" t="s">
        <v>24</v>
      </c>
      <c r="G12" s="11" t="s">
        <v>25</v>
      </c>
      <c r="H12" s="11" t="s">
        <v>26</v>
      </c>
    </row>
    <row r="13" ht="48" spans="1:8">
      <c r="A13" s="12" t="s">
        <v>27</v>
      </c>
      <c r="B13" s="12" t="s">
        <v>28</v>
      </c>
      <c r="C13" s="13">
        <v>100</v>
      </c>
      <c r="D13" s="13">
        <v>12</v>
      </c>
      <c r="E13" s="14">
        <f t="shared" ref="E13:E15" si="0">C13*D13</f>
        <v>1200</v>
      </c>
      <c r="F13" s="14">
        <v>18.5</v>
      </c>
      <c r="G13" s="14">
        <f t="shared" ref="G13:G15" si="1">E13*F13</f>
        <v>22200</v>
      </c>
      <c r="H13" s="6" t="s">
        <v>29</v>
      </c>
    </row>
    <row r="14" ht="48" spans="1:8">
      <c r="A14" s="12" t="s">
        <v>30</v>
      </c>
      <c r="B14" s="12" t="s">
        <v>31</v>
      </c>
      <c r="C14" s="13">
        <v>80</v>
      </c>
      <c r="D14" s="13">
        <v>12</v>
      </c>
      <c r="E14" s="14">
        <f t="shared" si="0"/>
        <v>960</v>
      </c>
      <c r="F14" s="14">
        <v>12.5</v>
      </c>
      <c r="G14" s="14">
        <f t="shared" si="1"/>
        <v>12000</v>
      </c>
      <c r="H14" s="6" t="s">
        <v>29</v>
      </c>
    </row>
    <row r="15" ht="48" spans="1:8">
      <c r="A15" s="12" t="s">
        <v>32</v>
      </c>
      <c r="B15" s="12" t="s">
        <v>33</v>
      </c>
      <c r="C15" s="13">
        <v>25</v>
      </c>
      <c r="D15" s="13">
        <v>12</v>
      </c>
      <c r="E15" s="14">
        <f t="shared" si="0"/>
        <v>300</v>
      </c>
      <c r="F15" s="14">
        <v>15.5</v>
      </c>
      <c r="G15" s="14">
        <f t="shared" si="1"/>
        <v>4650</v>
      </c>
      <c r="H15" s="6" t="s">
        <v>29</v>
      </c>
    </row>
    <row r="16" ht="24" customHeight="1" spans="1:8">
      <c r="A16" s="15" t="s">
        <v>34</v>
      </c>
      <c r="B16" s="8"/>
      <c r="C16" s="8"/>
      <c r="D16" s="8"/>
      <c r="E16" s="8"/>
      <c r="F16" s="9"/>
      <c r="G16" s="14">
        <f>SUM(G13:G15)</f>
        <v>38850</v>
      </c>
      <c r="H16" s="15" t="s">
        <v>29</v>
      </c>
    </row>
    <row r="18" spans="1:8">
      <c r="A18" s="10" t="s">
        <v>35</v>
      </c>
    </row>
    <row r="19" ht="31" customHeight="1" spans="1:8">
      <c r="A19" s="16" t="s">
        <v>36</v>
      </c>
      <c r="B19" s="17"/>
      <c r="C19" s="17"/>
      <c r="D19" s="17"/>
      <c r="E19" s="17"/>
      <c r="F19" s="17"/>
      <c r="G19" s="17"/>
      <c r="H19" s="18"/>
    </row>
    <row r="20" ht="31" customHeight="1" spans="1:8">
      <c r="A20" s="19" t="s">
        <v>37</v>
      </c>
      <c r="H20" s="20"/>
    </row>
    <row r="21" ht="31" customHeight="1" spans="1:8">
      <c r="A21" s="19" t="s">
        <v>38</v>
      </c>
      <c r="H21" s="20"/>
    </row>
    <row r="22" ht="31" customHeight="1" spans="1:8">
      <c r="A22" s="19" t="s">
        <v>39</v>
      </c>
      <c r="H22" s="20"/>
    </row>
    <row r="23" ht="31" customHeight="1" spans="1:8">
      <c r="A23" s="19" t="s">
        <v>40</v>
      </c>
      <c r="H23" s="20"/>
    </row>
    <row r="24" ht="31" customHeight="1" spans="1:8">
      <c r="A24" s="21" t="s">
        <v>41</v>
      </c>
      <c r="B24" s="22"/>
      <c r="C24" s="22"/>
      <c r="D24" s="22"/>
      <c r="E24" s="22"/>
      <c r="F24" s="22"/>
      <c r="G24" s="22"/>
      <c r="H24" s="23"/>
    </row>
    <row r="26" spans="1:8">
      <c r="A26" s="10" t="s">
        <v>42</v>
      </c>
    </row>
    <row r="27" ht="25" customHeight="1" spans="1:8">
      <c r="A27" s="24" t="s">
        <v>43</v>
      </c>
      <c r="B27" s="8"/>
      <c r="C27" s="8"/>
      <c r="D27" s="9"/>
      <c r="E27" s="24" t="s">
        <v>44</v>
      </c>
      <c r="F27" s="8"/>
      <c r="G27" s="8"/>
      <c r="H27" s="9"/>
    </row>
    <row r="28" ht="25" customHeight="1" spans="1:8">
      <c r="A28" s="25"/>
      <c r="B28" s="8"/>
      <c r="C28" s="8"/>
      <c r="D28" s="9"/>
      <c r="E28" s="25" t="s">
        <v>0</v>
      </c>
      <c r="F28" s="8"/>
      <c r="G28" s="8"/>
      <c r="H28" s="9"/>
    </row>
    <row r="29" ht="25" customHeight="1" spans="1:8">
      <c r="A29" s="25" t="s">
        <v>45</v>
      </c>
      <c r="B29" s="8"/>
      <c r="C29" s="8"/>
      <c r="D29" s="9"/>
      <c r="E29" s="25" t="s">
        <v>45</v>
      </c>
      <c r="F29" s="8"/>
      <c r="G29" s="8"/>
      <c r="H29" s="9"/>
    </row>
    <row r="30" ht="25" customHeight="1" spans="1:8">
      <c r="A30" s="25" t="s">
        <v>46</v>
      </c>
      <c r="B30" s="8"/>
      <c r="C30" s="8"/>
      <c r="D30" s="9"/>
      <c r="E30" s="25" t="s">
        <v>46</v>
      </c>
      <c r="F30" s="8"/>
      <c r="G30" s="8"/>
      <c r="H30" s="9"/>
    </row>
    <row r="31" ht="25" customHeight="1" spans="1:8">
      <c r="A31" s="25" t="s">
        <v>47</v>
      </c>
      <c r="B31" s="8"/>
      <c r="C31" s="8"/>
      <c r="D31" s="9"/>
      <c r="E31" s="25" t="s">
        <v>47</v>
      </c>
      <c r="F31" s="8"/>
      <c r="G31" s="8"/>
      <c r="H31" s="9"/>
    </row>
  </sheetData>
  <mergeCells count="26">
    <mergeCell ref="A1:H1"/>
    <mergeCell ref="A2:H2"/>
    <mergeCell ref="A3:H3"/>
    <mergeCell ref="A4:H4"/>
    <mergeCell ref="A5:H5"/>
    <mergeCell ref="B9:H9"/>
    <mergeCell ref="A11:H11"/>
    <mergeCell ref="A16:F16"/>
    <mergeCell ref="A18:H18"/>
    <mergeCell ref="A19:H19"/>
    <mergeCell ref="A20:H20"/>
    <mergeCell ref="A21:H21"/>
    <mergeCell ref="A22:H22"/>
    <mergeCell ref="A23:H23"/>
    <mergeCell ref="A24:H24"/>
    <mergeCell ref="A26:H26"/>
    <mergeCell ref="A27:D27"/>
    <mergeCell ref="E27:H27"/>
    <mergeCell ref="A28:D28"/>
    <mergeCell ref="E28:H28"/>
    <mergeCell ref="A29:D29"/>
    <mergeCell ref="E29:H29"/>
    <mergeCell ref="A30:D30"/>
    <mergeCell ref="E30:H30"/>
    <mergeCell ref="A31:D31"/>
    <mergeCell ref="E31:H31"/>
  </mergeCells>
  <pageMargins left="0.25" right="0.25" top="0.35" bottom="0.35" header="0.15" footer="0.15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   Y      R</cp:lastModifiedBy>
  <dcterms:created xsi:type="dcterms:W3CDTF">2026-08-23T03:26:00Z</dcterms:created>
  <dcterms:modified xsi:type="dcterms:W3CDTF">2026-10-06T09:52:05Z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7962B653CCF845E68B4A88737B836DCC_13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
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53" name="ID_D77FDF2E7EE54E5AB2DE786A4B930313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46796760"/>
          <a:ext cx="852170" cy="828675"/>
        </a:xfrm>
        <a:prstGeom prst="rect">
          <a:avLst/>
        </a:prstGeom>
      </xdr:spPr>
    </xdr:pic>
  </etc:cellImage>
  <etc:cellImage>
    <xdr:pic>
      <xdr:nvPicPr>
        <xdr:cNvPr id="2" name="ID_A7894C114235414D992E2ADF6B2FAEA8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9961880" y="131476750"/>
          <a:ext cx="852170" cy="600075"/>
        </a:xfrm>
        <a:prstGeom prst="rect">
          <a:avLst/>
        </a:prstGeom>
      </xdr:spPr>
    </xdr:pic>
  </etc:cellImage>
  <etc:cellImage>
    <xdr:pic>
      <xdr:nvPicPr>
        <xdr:cNvPr id="231" name="ID_8B66A4378EE646A0AA7F7264AD5885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961880" y="121949845"/>
          <a:ext cx="1772920" cy="14166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97C42809ACBF40448BD2932C5552A72F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9961880" y="204118845"/>
          <a:ext cx="852170" cy="828675"/>
        </a:xfrm>
        <a:prstGeom prst="rect">
          <a:avLst/>
        </a:prstGeom>
      </xdr:spPr>
    </xdr:pic>
  </etc:cellImage>
  <etc:cellImage>
    <xdr:pic>
      <xdr:nvPicPr>
        <xdr:cNvPr id="202" name="ID_E659F83EADCA495CB4D7BB311834834A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9961880" y="209568415"/>
          <a:ext cx="647700" cy="838200"/>
        </a:xfrm>
        <a:prstGeom prst="rect">
          <a:avLst/>
        </a:prstGeom>
      </xdr:spPr>
    </xdr:pic>
  </etc:cellImage>
  <etc:cellImage>
    <xdr:pic>
      <xdr:nvPicPr>
        <xdr:cNvPr id="237" name="ID_4BEF828AA0C245D3AE5AB475EBDF8D30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9961880" y="133572250"/>
          <a:ext cx="742950" cy="838200"/>
        </a:xfrm>
        <a:prstGeom prst="rect">
          <a:avLst/>
        </a:prstGeom>
      </xdr:spPr>
    </xdr:pic>
  </etc:cellImage>
  <etc:cellImage>
    <xdr:pic>
      <xdr:nvPicPr>
        <xdr:cNvPr id="204" name="ID_5621099B5D3F4D87A9AC370F502975C6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9961880" y="209447765"/>
          <a:ext cx="852170" cy="8191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<sst xmlns="http://schemas.openxmlformats.org/spreadsheetml/2006/main" count="59" uniqueCount="56">
  <si>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</si>
  <si>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</si>
  <si>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</si>
  <si>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</si>
  <si>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</si>
  <si>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</si>
  <si>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r>
      <rPr>
        <sz val="12"/>
        <rFont val="宋体"/>
        <charset val="134"/>
      </rPr>
      <t>购买方</t>
    </r>
    <r>
      <rPr>
        <sz val="12"/>
        <rFont val="Arial"/>
        <charset val="134"/>
      </rPr>
      <t>Buyer:</t>
    </r>
    <r>
      <rPr>
        <sz val="12"/>
        <rFont val="宋体"/>
        <charset val="134"/>
      </rPr>
      <t>厦门市赛雅歌商贸有限公司</t>
    </r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</si>
  <si>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</si>
  <si>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OS20260612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</si>
  <si>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</si>
  <si>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t>序号</t>
  </si>
  <si>
    <t>商品图片</t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</si>
  <si>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</si>
  <si>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</si>
  <si>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t>箱规SIZE</t>
  </si>
  <si>
    <t>单箱毛重GW</t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</si>
  <si>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</si>
  <si>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</si>
  <si>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交货价含税</t>
    </r>
    <r>
      <rPr>
        <b/>
        <sz val="10"/>
        <rFont val="Arial"/>
        <charset val="134"/>
      </rPr>
      <t xml:space="preserve">
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</si>
  <si>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</si>
  <si>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rPr>
        <sz val="10"/>
        <color rgb="FF000000"/>
        <rFont val="Arial"/>
        <charset val="134"/>
      </rPr>
      <t xml:space="preserve">METAL PAPER RACK 2 Tray
with blister
</t>
    </r>
    <r>
      <rPr>
        <sz val="10"/>
        <color rgb="FF000000"/>
        <rFont val="宋体"/>
        <charset val="134"/>
      </rPr>
      <t>二层文件栏带吸塑</t>
    </r>
  </si>
  <si>
    <t>30*24*22</t>
  </si>
  <si>
    <t>62*29*39</t>
  </si>
  <si>
    <r>
      <rPr>
        <sz val="10"/>
        <color rgb="FF000000"/>
        <rFont val="Arial"/>
        <charset val="134"/>
      </rPr>
      <t xml:space="preserve">METAL PAPER RACK 3 Tray
with blister
</t>
    </r>
    <r>
      <rPr>
        <sz val="10"/>
        <color rgb="FF000000"/>
        <rFont val="宋体"/>
        <charset val="134"/>
      </rPr>
      <t>三层文件栏带吸塑</t>
    </r>
  </si>
  <si>
    <t>30*26*27</t>
  </si>
  <si>
    <t>68.5*29*39</t>
  </si>
  <si>
    <r>
      <rPr>
        <sz val="10"/>
        <color rgb="FF000000"/>
        <rFont val="Arial"/>
        <charset val="134"/>
      </rPr>
      <t xml:space="preserve">METAL PAPER RACK 4 Tray
with blister
</t>
    </r>
    <r>
      <rPr>
        <sz val="10"/>
        <color rgb="FF000000"/>
        <rFont val="宋体"/>
        <charset val="134"/>
      </rPr>
      <t>四层文件栏带吸塑</t>
    </r>
  </si>
  <si>
    <t>30*26*30</t>
  </si>
  <si>
    <t>72.5*29*39</t>
  </si>
  <si>
    <r>
      <rPr>
        <sz val="10"/>
        <color rgb="FF000000"/>
        <rFont val="Arial"/>
        <charset val="134"/>
      </rPr>
      <t xml:space="preserve">METAL PAPER RACK 5 Tray
with blister
</t>
    </r>
    <r>
      <rPr>
        <sz val="10"/>
        <color rgb="FF000000"/>
        <rFont val="宋体"/>
        <charset val="134"/>
      </rPr>
      <t>五层文件栏带吸塑</t>
    </r>
  </si>
  <si>
    <t>33*26*36</t>
  </si>
  <si>
    <t>82*29*41</t>
  </si>
  <si>
    <r>
      <rPr>
        <sz val="10"/>
        <color rgb="FF000000"/>
        <rFont val="Arial"/>
        <charset val="134"/>
      </rPr>
      <t xml:space="preserve">METAL PAPER RACK 2Tray
with blister
</t>
    </r>
    <r>
      <rPr>
        <sz val="10"/>
        <color rgb="FF000000"/>
        <rFont val="宋体"/>
        <charset val="134"/>
      </rPr>
      <t>二联杂志盒带吸塑</t>
    </r>
  </si>
  <si>
    <t>29.5*16*31</t>
  </si>
  <si>
    <t>43*32*35</t>
  </si>
  <si>
    <r>
      <rPr>
        <sz val="10"/>
        <color rgb="FF000000"/>
        <rFont val="Arial"/>
        <charset val="134"/>
      </rPr>
      <t xml:space="preserve">METAL PAPER RACK 3 Tray
with blister
</t>
    </r>
    <r>
      <rPr>
        <sz val="10"/>
        <color rgb="FF000000"/>
        <rFont val="宋体"/>
        <charset val="134"/>
      </rPr>
      <t>三联杂志盒带吸塑</t>
    </r>
  </si>
  <si>
    <t>29.5*24.2*3.1</t>
  </si>
  <si>
    <t>45*32*35</t>
  </si>
  <si>
    <r>
      <rPr>
        <sz val="10"/>
        <color rgb="FF000000"/>
        <rFont val="Arial"/>
        <charset val="134"/>
      </rPr>
      <t xml:space="preserve">METAL PAPER RACK 4 Tray
with blister
</t>
    </r>
    <r>
      <rPr>
        <sz val="10"/>
        <color rgb="FF000000"/>
        <rFont val="宋体"/>
        <charset val="134"/>
      </rPr>
      <t>四联杂志盒带吸塑</t>
    </r>
  </si>
  <si>
    <t>29.5*32.7*31</t>
  </si>
  <si>
    <t>50*32*35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</si>
  <si>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</si>
  <si>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</si>
  <si>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</si>
  <si>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t>单次订单订金30%</t>
  </si>
  <si>
    <t>购货单位</t>
  </si>
  <si>
    <t>供货单位</t>
  </si>
  <si>
    <t>2)交货时间DELIVERY TIME:</t>
  </si>
  <si>
    <t>交货时间下单后，20-35天内交付</t>
  </si>
  <si>
    <t>单位名称：</t>
  </si>
  <si>
    <t>厦门市赛雅歌商贸有限公司</t>
  </si>
  <si>
    <r>
      <rPr>
        <sz val="12"/>
        <rFont val="Arial"/>
        <charset val="134"/>
      </rPr>
      <t>3)</t>
    </r>
    <r>
      <rPr>
        <sz val="12"/>
        <rFont val="宋体"/>
        <charset val="134"/>
      </rPr>
      <t>交货地点</t>
    </r>
    <r>
      <rPr>
        <sz val="12"/>
        <rFont val="Arial"/>
        <charset val="134"/>
      </rPr>
      <t>WAREHOUSE</t>
    </r>
    <r>
      <rPr>
        <sz val="12"/>
        <rFont val="宋体"/>
        <charset val="134"/>
      </rPr>
      <t>：</t>
    </r>
    <r>
      <rPr>
        <sz val="12"/>
        <rFont val="Arial"/>
        <charset val="134"/>
      </rPr>
      <t xml:space="preserve"> </t>
    </r>
  </si>
  <si>
    <t>单位签章:</t>
  </si>
  <si>
    <t>4)收款账号Beneficiary:</t>
  </si>
  <si>
    <t>公司名称：永康市欧硕工贸有限公司
纳税人识别号：91330784MA2JWMAH56
公司地址：浙江省金华市永康市龙山镇溪田村上宅65号
电话：13967924123
开户行及账号：浙江永康农村商业银行股份有限公司龙山支行 201000329048151</t>
  </si>
  <si>
    <r>
      <rPr>
        <sz val="12"/>
        <rFont val="Arial"/>
        <charset val="134"/>
      </rPr>
      <t>5)</t>
    </r>
    <r>
      <rPr>
        <sz val="12"/>
        <rFont val="宋体"/>
        <charset val="134"/>
      </rPr>
      <t>定制要求：每盒贴标签，外箱2面唛头</t>
    </r>
    <r>
      <rPr>
        <sz val="12"/>
        <rFont val="Arial"/>
        <charset val="134"/>
      </rPr>
      <t>+MADE IN CHINA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</si>
</sst>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\-yyyy"/>
  </numFmts>
  <fonts count="39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9"/>
      <name val="宋体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  <font>
      <sz val="10"/>
      <color rgb="FF000000"/>
      <name val="宋体"/>
      <charset val="134"/>
    </font>
    <font>
      <b/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5" borderId="8" applyNumberFormat="0" applyAlignment="0" applyProtection="0">
      <alignment vertical="center"/>
    </xf>
    <xf numFmtId="0" fontId="28" fillId="6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0" fillId="0" borderId="0">
      <protection locked="0"/>
    </xf>
  </cellStyleXfs>
  <cellXfs count="50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/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Border="1" applyAlignment="1"/>
    <xf numFmtId="0" fontId="0" fillId="2" borderId="0" xfId="0" applyFont="1" applyFill="1" applyAlignment="1"/>
    <xf numFmtId="0" fontId="5" fillId="2" borderId="0" xfId="0" applyFont="1" applyFill="1" applyBorder="1" applyAlignment="1">
      <alignment horizontal="left" vertical="center" wrapText="1"/>
    </xf>
    <xf numFmtId="14" fontId="5" fillId="2" borderId="0" xfId="0" applyNumberFormat="1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8" fillId="2" borderId="0" xfId="0" applyFont="1" applyFill="1" applyBorder="1" applyAlignment="1">
      <alignment horizontal="left" vertical="center"/>
    </xf>
    <xf numFmtId="176" fontId="5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49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2" borderId="2" xfId="49" applyFont="1" applyFill="1" applyBorder="1" applyAlignment="1" applyProtection="1">
      <alignment horizontal="center" vertical="center" wrapText="1"/>
    </xf>
    <xf numFmtId="0" fontId="3" fillId="2" borderId="3" xfId="49" applyFont="1" applyFill="1" applyBorder="1" applyAlignment="1" applyProtection="1">
      <alignment horizontal="center" vertical="center" wrapText="1"/>
    </xf>
    <xf numFmtId="0" fontId="3" fillId="2" borderId="4" xfId="49" applyFont="1" applyFill="1" applyBorder="1" applyAlignment="1" applyProtection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0" xfId="0" applyFont="1" applyFill="1" applyAlignment="1">
      <alignment wrapText="1"/>
    </xf>
    <xf numFmtId="0" fontId="0" fillId="0" borderId="0" xfId="0" applyFill="1" applyBorder="1" applyAlignment="1"/>
    <xf numFmtId="0" fontId="5" fillId="2" borderId="0" xfId="0" applyFont="1" applyFill="1" applyAlignment="1">
      <alignment horizontal="center"/>
    </xf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left" vertical="top" wrapText="1"/>
    </xf>
    <xf numFmtId="49" fontId="0" fillId="0" borderId="0" xfId="0" applyNumberFormat="1" applyFill="1" applyBorder="1" applyAlignment="1"/>
    <xf numFmtId="0" fontId="5" fillId="2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/>
    <xf numFmtId="0" fontId="4" fillId="2" borderId="0" xfId="0" applyFont="1" applyFill="1" applyAlignment="1">
      <alignment horizontal="center" vertical="center" wrapText="1"/>
    </xf>
    <xf numFmtId="0" fontId="15" fillId="2" borderId="0" xfId="0" applyFont="1" applyFill="1" applyAlignment="1"/>
    <xf numFmtId="0" fontId="4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pn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zoomScale="115" zoomScaleNormal="115" topLeftCell="A8" workbookViewId="0">
      <selection activeCell="E13" sqref="E13"/>
    </sheetView>
  </sheetViews>
  <sheetFormatPr defaultColWidth="9" defaultRowHeight="15.5"/>
  <cols>
    <col min="1" max="1" width="6.25" style="5" customWidth="1"/>
    <col min="2" max="2" width="16.3333333333333" style="5" customWidth="1"/>
    <col min="3" max="3" width="24.6" style="6" customWidth="1"/>
    <col min="4" max="6" width="11.9" style="6" customWidth="1"/>
    <col min="7" max="8" width="10.2" style="6" customWidth="1"/>
    <col min="9" max="9" width="16.2" style="6" customWidth="1"/>
    <col min="10" max="10" width="10.2" style="6" customWidth="1"/>
    <col min="11" max="11" width="11.525" style="6" customWidth="1"/>
    <col min="12" max="12" width="10.4166666666667" style="7" customWidth="1"/>
    <col min="13" max="13" width="14.2" style="7" customWidth="1"/>
    <col min="14" max="15" width="9" style="6"/>
    <col min="16" max="16" width="9.2" style="6" customWidth="1"/>
    <col min="17" max="17" width="11.6" style="6" customWidth="1"/>
    <col min="18" max="16384" width="9" style="6"/>
  </cols>
  <sheetData>
    <row r="1" s="1" customFormat="1" ht="19.95" customHeight="1" spans="1:16">
      <c r="A1" s="8" t="s">
        <v>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="1" customFormat="1" ht="19.95" customHeight="1" spans="1:16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ht="18" customHeight="1" spans="1:16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18" customHeight="1" spans="1:16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ht="18" customHeight="1" spans="1:16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="2" customFormat="1" ht="31.2" customHeight="1" spans="1:16">
      <c r="A6" s="12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ht="18" customHeight="1" spans="1:16">
      <c r="A7" s="13" t="s">
        <v>6</v>
      </c>
      <c r="B7" s="13"/>
      <c r="C7" s="14"/>
      <c r="D7" s="14"/>
      <c r="E7" s="5"/>
      <c r="F7" s="5"/>
      <c r="G7" s="15"/>
      <c r="H7" s="15"/>
      <c r="I7" s="15"/>
      <c r="J7" s="15"/>
      <c r="K7" s="16" t="s">
        <v>7</v>
      </c>
      <c r="L7" s="6"/>
      <c r="M7" s="7" t="s">
        <v>8</v>
      </c>
    </row>
    <row r="8" ht="18" customHeight="1" spans="1:16">
      <c r="A8" s="17"/>
      <c r="B8" s="17"/>
      <c r="C8" s="17"/>
      <c r="D8" s="17"/>
      <c r="E8" s="17"/>
      <c r="F8" s="17"/>
      <c r="G8" s="17"/>
      <c r="H8" s="15"/>
      <c r="I8" s="15"/>
      <c r="J8" s="15"/>
      <c r="K8" s="15" t="s">
        <v>9</v>
      </c>
      <c r="L8" s="18">
        <v>46185</v>
      </c>
    </row>
    <row r="9" ht="18" customHeight="1" spans="1:16">
      <c r="A9" s="17"/>
      <c r="B9" s="17"/>
      <c r="C9" s="17"/>
      <c r="D9" s="17"/>
      <c r="E9" s="17"/>
      <c r="F9" s="17"/>
      <c r="G9" s="17"/>
      <c r="H9" s="15"/>
      <c r="I9" s="15"/>
      <c r="J9" s="15"/>
      <c r="K9" s="15"/>
      <c r="L9" s="19"/>
    </row>
    <row r="10" ht="18" customHeight="1" spans="1:16">
      <c r="C10" s="20"/>
      <c r="D10" s="20"/>
      <c r="E10" s="20"/>
      <c r="F10" s="20"/>
      <c r="G10" s="20"/>
      <c r="H10" s="20"/>
      <c r="I10" s="20"/>
      <c r="K10" s="21"/>
      <c r="L10" s="21"/>
      <c r="M10" s="21"/>
    </row>
    <row r="11" s="3" customFormat="1" ht="48.6" customHeight="1" spans="1:16">
      <c r="A11" s="22" t="s">
        <v>10</v>
      </c>
      <c r="B11" s="23" t="s">
        <v>11</v>
      </c>
      <c r="C11" s="23" t="s">
        <v>12</v>
      </c>
      <c r="D11" s="24" t="s">
        <v>13</v>
      </c>
      <c r="E11" s="24" t="s">
        <v>14</v>
      </c>
      <c r="F11" s="24" t="s">
        <v>15</v>
      </c>
      <c r="G11" s="25" t="s">
        <v>16</v>
      </c>
      <c r="H11" s="25" t="s">
        <v>17</v>
      </c>
      <c r="I11" s="26" t="s">
        <v>18</v>
      </c>
      <c r="J11" s="25" t="s">
        <v>19</v>
      </c>
    </row>
    <row r="12" s="3" customFormat="1" ht="48.6" customHeight="1" spans="1:16">
      <c r="A12" s="25">
        <v>1</v>
      </c>
      <c r="B12" s="27" t="str">
        <f>_xlfn.DISPIMG("ID_D77FDF2E7EE54E5AB2DE786A4B930313",1)</f>
        <v>=DISPIMG("ID_D77FDF2E7EE54E5AB2DE786A4B930313",1)</v>
      </c>
      <c r="C12" s="28" t="s">
        <v>20</v>
      </c>
      <c r="D12" s="25" t="s">
        <v>21</v>
      </c>
      <c r="E12" s="25" t="s">
        <v>22</v>
      </c>
      <c r="F12" s="25">
        <v>12</v>
      </c>
      <c r="G12" s="25">
        <v>40</v>
      </c>
      <c r="H12" s="25">
        <v>12</v>
      </c>
      <c r="I12" s="29">
        <v>11.34</v>
      </c>
      <c r="J12" s="30">
        <f>I12*H12*G12</f>
        <v>5443.2</v>
      </c>
    </row>
    <row r="13" s="3" customFormat="1" ht="48.6" customHeight="1" spans="1:16">
      <c r="A13" s="25">
        <v>2</v>
      </c>
      <c r="B13" s="27" t="str">
        <f>_xlfn.DISPIMG("ID_A7894C114235414D992E2ADF6B2FAEA8",1)</f>
        <v>=DISPIMG("ID_A7894C114235414D992E2ADF6B2FAEA8",1)</v>
      </c>
      <c r="C13" s="28" t="s">
        <v>23</v>
      </c>
      <c r="D13" s="31" t="s">
        <v>24</v>
      </c>
      <c r="E13" s="31" t="s">
        <v>25</v>
      </c>
      <c r="F13" s="31">
        <v>15</v>
      </c>
      <c r="G13" s="25">
        <v>417</v>
      </c>
      <c r="H13" s="25">
        <v>12</v>
      </c>
      <c r="I13" s="29">
        <v>13.5</v>
      </c>
      <c r="J13" s="30">
        <f t="shared" ref="J13:J18" si="0">I13*H13*G13</f>
        <v>67554</v>
      </c>
      <c r="P13" s="3">
        <v>170290.512</v>
      </c>
    </row>
    <row r="14" s="3" customFormat="1" ht="42" customHeight="1" spans="1:16">
      <c r="A14" s="25">
        <v>3</v>
      </c>
      <c r="B14" s="27" t="str">
        <f>_xlfn.DISPIMG("ID_8B66A4378EE646A0AA7F7264AD588568",1)</f>
        <v>=DISPIMG("ID_8B66A4378EE646A0AA7F7264AD588568",1)</v>
      </c>
      <c r="C14" s="28" t="s">
        <v>26</v>
      </c>
      <c r="D14" s="31" t="s">
        <v>27</v>
      </c>
      <c r="E14" s="31" t="s">
        <v>28</v>
      </c>
      <c r="F14" s="31">
        <v>18</v>
      </c>
      <c r="G14" s="31">
        <v>334</v>
      </c>
      <c r="H14" s="31">
        <v>12</v>
      </c>
      <c r="I14" s="29">
        <v>17.064</v>
      </c>
      <c r="J14" s="30">
        <f t="shared" si="0"/>
        <v>68392.512</v>
      </c>
    </row>
    <row r="15" s="3" customFormat="1" ht="42" customHeight="1" spans="1:16">
      <c r="A15" s="25">
        <v>4</v>
      </c>
      <c r="B15" s="27" t="str">
        <f>_xlfn.DISPIMG("ID_97C42809ACBF40448BD2932C5552A72F",1)</f>
        <v>=DISPIMG("ID_97C42809ACBF40448BD2932C5552A72F",1)</v>
      </c>
      <c r="C15" s="28" t="s">
        <v>29</v>
      </c>
      <c r="D15" s="31" t="s">
        <v>30</v>
      </c>
      <c r="E15" s="31" t="s">
        <v>31</v>
      </c>
      <c r="F15" s="31">
        <v>21</v>
      </c>
      <c r="G15" s="31">
        <v>84</v>
      </c>
      <c r="H15" s="31">
        <v>12</v>
      </c>
      <c r="I15" s="29">
        <v>19.98</v>
      </c>
      <c r="J15" s="30">
        <f t="shared" si="0"/>
        <v>20139.84</v>
      </c>
    </row>
    <row r="16" s="3" customFormat="1" ht="42" customHeight="1" spans="1:16">
      <c r="A16" s="25">
        <v>5</v>
      </c>
      <c r="B16" s="27" t="str">
        <f>_xlfn.DISPIMG("ID_E659F83EADCA495CB4D7BB311834834A",1)</f>
        <v>=DISPIMG("ID_E659F83EADCA495CB4D7BB311834834A",1)</v>
      </c>
      <c r="C16" s="28" t="s">
        <v>32</v>
      </c>
      <c r="D16" s="31" t="s">
        <v>33</v>
      </c>
      <c r="E16" s="31" t="s">
        <v>34</v>
      </c>
      <c r="F16" s="31">
        <v>18</v>
      </c>
      <c r="G16" s="31">
        <v>10</v>
      </c>
      <c r="H16" s="31">
        <v>12</v>
      </c>
      <c r="I16" s="29">
        <v>14.04</v>
      </c>
      <c r="J16" s="30">
        <f t="shared" si="0"/>
        <v>1684.8</v>
      </c>
    </row>
    <row r="17" s="3" customFormat="1" ht="42" customHeight="1" spans="1:13">
      <c r="A17" s="25">
        <v>6</v>
      </c>
      <c r="B17" s="27" t="str">
        <f>_xlfn.DISPIMG("ID_4BEF828AA0C245D3AE5AB475EBDF8D30",1)</f>
        <v>=DISPIMG("ID_4BEF828AA0C245D3AE5AB475EBDF8D30",1)</v>
      </c>
      <c r="C17" s="28" t="s">
        <v>35</v>
      </c>
      <c r="D17" s="31" t="s">
        <v>36</v>
      </c>
      <c r="E17" s="31" t="s">
        <v>37</v>
      </c>
      <c r="F17" s="31">
        <v>20</v>
      </c>
      <c r="G17" s="31">
        <v>10</v>
      </c>
      <c r="H17" s="31">
        <v>12</v>
      </c>
      <c r="I17" s="29">
        <v>17.28</v>
      </c>
      <c r="J17" s="30">
        <f t="shared" si="0"/>
        <v>2073.6</v>
      </c>
    </row>
    <row r="18" s="3" customFormat="1" ht="42" customHeight="1" spans="1:13">
      <c r="A18" s="25">
        <v>7</v>
      </c>
      <c r="B18" s="27" t="str">
        <f>_xlfn.DISPIMG("ID_5621099B5D3F4D87A9AC370F502975C6",1)</f>
        <v>=DISPIMG("ID_5621099B5D3F4D87A9AC370F502975C6",1)</v>
      </c>
      <c r="C18" s="28" t="s">
        <v>38</v>
      </c>
      <c r="D18" s="31" t="s">
        <v>39</v>
      </c>
      <c r="E18" s="31" t="s">
        <v>40</v>
      </c>
      <c r="F18" s="31">
        <v>22</v>
      </c>
      <c r="G18" s="31">
        <v>20</v>
      </c>
      <c r="H18" s="31">
        <v>12</v>
      </c>
      <c r="I18" s="29">
        <v>20.844</v>
      </c>
      <c r="J18" s="30">
        <f t="shared" si="0"/>
        <v>5002.56</v>
      </c>
    </row>
    <row r="19" s="3" customFormat="1" ht="42" customHeight="1" spans="1:13">
      <c r="A19" s="32" t="s">
        <v>41</v>
      </c>
      <c r="B19" s="33"/>
      <c r="C19" s="33"/>
      <c r="D19" s="34"/>
      <c r="E19" s="34"/>
      <c r="F19" s="34"/>
      <c r="G19" s="31">
        <f>SUM(G12:G18)</f>
        <v>915</v>
      </c>
      <c r="H19" s="31"/>
      <c r="I19" s="35"/>
      <c r="J19" s="31">
        <f>SUM(J12:J18)</f>
        <v>170290.512</v>
      </c>
      <c r="K19" s="3">
        <f>J19*0.3</f>
        <v>51087.1536</v>
      </c>
    </row>
    <row r="20" ht="18" customHeight="1" spans="1:13">
      <c r="A20" s="36" t="s">
        <v>42</v>
      </c>
      <c r="B20" s="37"/>
    </row>
    <row r="21" ht="18" customHeight="1" spans="1:13">
      <c r="A21" s="38" t="s">
        <v>43</v>
      </c>
      <c r="B21" s="38"/>
      <c r="D21" s="16" t="s">
        <v>44</v>
      </c>
      <c r="E21" s="39"/>
      <c r="F21" s="39"/>
      <c r="G21" s="39"/>
      <c r="H21" s="40" t="s">
        <v>45</v>
      </c>
      <c r="I21" s="40"/>
      <c r="J21" s="40"/>
      <c r="K21" s="40" t="s">
        <v>46</v>
      </c>
      <c r="L21" s="40"/>
      <c r="M21" s="6"/>
    </row>
    <row r="22" ht="18" customHeight="1" spans="1:13">
      <c r="A22" s="38" t="s">
        <v>47</v>
      </c>
      <c r="B22" s="38"/>
      <c r="C22" s="41"/>
      <c r="D22" s="42" t="s">
        <v>48</v>
      </c>
      <c r="E22" s="42"/>
      <c r="F22" s="42"/>
      <c r="G22" s="2"/>
      <c r="H22" s="40" t="s">
        <v>49</v>
      </c>
      <c r="I22" s="40" t="s">
        <v>50</v>
      </c>
      <c r="J22" s="40"/>
      <c r="K22" s="40" t="s">
        <v>49</v>
      </c>
      <c r="L22" s="40" t="s">
        <v>0</v>
      </c>
      <c r="M22" s="6"/>
    </row>
    <row r="23" ht="18" customHeight="1" spans="1:13">
      <c r="A23" s="38" t="s">
        <v>51</v>
      </c>
      <c r="B23" s="38"/>
      <c r="D23" s="16"/>
      <c r="E23" s="16"/>
      <c r="F23" s="16"/>
      <c r="H23" s="40" t="s">
        <v>52</v>
      </c>
      <c r="I23" s="40"/>
      <c r="J23" s="40"/>
      <c r="K23" s="40" t="s">
        <v>52</v>
      </c>
      <c r="L23" s="40"/>
      <c r="M23" s="6"/>
    </row>
    <row r="24" ht="18" customHeight="1" spans="1:13">
      <c r="A24" s="38" t="s">
        <v>53</v>
      </c>
      <c r="B24" s="38"/>
      <c r="I24" s="40"/>
      <c r="J24" s="40"/>
      <c r="K24" s="40"/>
      <c r="L24" s="40"/>
    </row>
    <row r="25" ht="80" customHeight="1" spans="1:13">
      <c r="A25" s="43" t="s">
        <v>54</v>
      </c>
      <c r="B25" s="43"/>
      <c r="C25" s="43"/>
      <c r="D25" s="43"/>
      <c r="E25" s="43"/>
      <c r="F25" s="43"/>
      <c r="G25" s="43"/>
      <c r="H25" s="43"/>
      <c r="I25" s="40"/>
      <c r="J25" s="44"/>
      <c r="K25" s="40"/>
      <c r="L25" s="40"/>
    </row>
    <row r="26" ht="18" customHeight="1" spans="1:13">
      <c r="A26" s="38" t="s">
        <v>55</v>
      </c>
      <c r="B26" s="38"/>
      <c r="G26" s="2"/>
      <c r="H26" s="2"/>
      <c r="I26" s="40"/>
      <c r="J26" s="44"/>
      <c r="K26" s="40"/>
      <c r="L26" s="40"/>
    </row>
    <row r="27" ht="18" customHeight="1" spans="1:13">
      <c r="A27" s="38"/>
      <c r="B27" s="38"/>
      <c r="G27" s="2"/>
      <c r="H27" s="2"/>
      <c r="I27" s="40"/>
      <c r="J27" s="40"/>
      <c r="K27" s="40"/>
      <c r="L27" s="40"/>
    </row>
    <row r="28" ht="36" customHeight="1" spans="1:13">
      <c r="A28" s="45"/>
      <c r="B28" s="45"/>
      <c r="C28" s="15"/>
      <c r="D28" s="15"/>
      <c r="E28" s="15"/>
      <c r="F28" s="15"/>
      <c r="G28" s="15"/>
      <c r="H28" s="15"/>
      <c r="I28" s="40"/>
      <c r="J28" s="46"/>
      <c r="K28" s="40"/>
      <c r="L28" s="40"/>
      <c r="M28" s="6"/>
    </row>
    <row r="29" s="4" customFormat="1" ht="36" customHeight="1" spans="1:13">
      <c r="A29" s="5"/>
      <c r="B29" s="5"/>
      <c r="C29" s="6"/>
      <c r="D29" s="6"/>
      <c r="E29" s="6"/>
      <c r="F29" s="6"/>
      <c r="G29" s="6"/>
      <c r="H29" s="6"/>
      <c r="I29" s="40"/>
      <c r="J29" s="40"/>
      <c r="K29" s="40"/>
      <c r="L29" s="40"/>
      <c r="M29" s="6"/>
    </row>
    <row r="30" s="4" customFormat="1" ht="36" customHeight="1" spans="1:13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="4" customFormat="1" ht="36" customHeight="1" spans="1:13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="4" customFormat="1" ht="36" customHeight="1" spans="1:13">
      <c r="A32" s="47"/>
      <c r="B32" s="47"/>
    </row>
    <row r="33" s="4" customFormat="1" ht="36" customHeight="1" spans="1:13">
      <c r="A33" s="47"/>
      <c r="B33" s="47"/>
    </row>
    <row r="34" spans="1:13">
      <c r="A34" s="47"/>
      <c r="B34" s="4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47"/>
      <c r="B35" s="4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7"/>
      <c r="B36" s="47"/>
      <c r="C36" s="48"/>
      <c r="D36" s="48"/>
      <c r="E36" s="48"/>
      <c r="F36" s="48"/>
      <c r="G36" s="48"/>
      <c r="H36" s="48"/>
      <c r="I36" s="48"/>
      <c r="J36" s="48"/>
      <c r="K36" s="48"/>
      <c r="L36" s="49"/>
      <c r="M36" s="49"/>
    </row>
    <row r="37" spans="1:13">
      <c r="C37" s="38"/>
      <c r="D37" s="38"/>
      <c r="E37" s="38"/>
      <c r="F37" s="38"/>
    </row>
  </sheetData>
  <mergeCells count="11">
    <mergeCell ref="A1:M1"/>
    <mergeCell ref="A2:M2"/>
    <mergeCell ref="A3:M3"/>
    <mergeCell ref="A4:M4"/>
    <mergeCell ref="A5:M5"/>
    <mergeCell ref="A6:M6"/>
    <mergeCell ref="A7:D7"/>
    <mergeCell ref="A8:G8"/>
    <mergeCell ref="K10:L10"/>
    <mergeCell ref="A19:D19"/>
    <mergeCell ref="A25:H25"/>
  </mergeCells>
  <pageMargins left="0" right="0" top="0" bottom="0.156944444444444" header="0" footer="0"/>
  <pageSetup paperSize="9" scale="75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2026-06-12T09:35:54Z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FBE252FEDBAD401A972DE2C6FEC74C37_13</vt:lpwstr>
  </property>
  <property fmtid="{D5CDD505-2E9C-101B-9397-08002B2CF9AE}" pid="4" name="CalculationRule">
    <vt:i4>0</vt:i4>
  </property>
</Properties>
</file>